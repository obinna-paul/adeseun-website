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69bd788f3542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6ba0e7455ea463b"/>
    <x:sheet xmlns:r="http://schemas.openxmlformats.org/officeDocument/2006/relationships" name="Fact dossier" sheetId="2" r:id="Re656cc400dee4b53"/>
    <x:sheet xmlns:r="http://schemas.openxmlformats.org/officeDocument/2006/relationships" name="Sources" sheetId="3" r:id="Rc8b952e4dce4465d"/>
    <x:sheet xmlns:r="http://schemas.openxmlformats.org/officeDocument/2006/relationships" name="Books" sheetId="4" r:id="R4ce4798d2dec4b86"/>
    <x:sheet xmlns:r="http://schemas.openxmlformats.org/officeDocument/2006/relationships" name="Site claim conflicts" sheetId="5" r:id="R9feb9279d6f34072"/>
    <x:sheet xmlns:r="http://schemas.openxmlformats.org/officeDocument/2006/relationships" name="Gaps &amp; actions" sheetId="6" r:id="Rf5240369d4a84829"/>
    <x:sheet xmlns:r="http://schemas.openxmlformats.org/officeDocument/2006/relationships" name="Wikipedia plan" sheetId="7" r:id="R718a5910835149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0">
    <x:font>
      <x:sz val="11"/>
      <x:name val="Carlito"/>
    </x:font>
    <x:font>
      <x:b/>
      <x:sz val="16"/>
      <x:color rgb="FF1F2933"/>
      <x:name val="Arial"/>
    </x:font>
    <x:font>
      <x:b/>
      <x:sz val="10"/>
      <x:color rgb="FF52606D"/>
      <x:name val="Arial"/>
    </x:font>
    <x:font>
      <x:sz val="10"/>
      <x:color rgb="FF1F2933"/>
      <x:name val="Arial"/>
    </x:font>
    <x:font>
      <x:b/>
      <x:sz val="10"/>
      <x:color rgb="FFFFFFFF"/>
      <x:name val="Arial"/>
    </x:font>
    <x:font>
      <x:b/>
      <x:sz val="12"/>
      <x:color rgb="FF1F2933"/>
      <x:name val="Arial"/>
    </x:font>
    <x:font>
      <x:b/>
      <x:sz val="15"/>
      <x:color rgb="FF1F2933"/>
      <x:name val="Arial"/>
    </x:font>
    <x:font>
      <x:i/>
      <x:sz val="10"/>
      <x:color rgb="FF52606D"/>
      <x:name val="Arial"/>
    </x:font>
    <x:font>
      <x:b/>
      <x:sz val="10"/>
      <x:color rgb="FF1F2933"/>
      <x:name val="Arial"/>
    </x:font>
    <x:font>
      <x:i/>
      <x:sz val="10"/>
      <x:color rgb="FF1F293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4D6"/>
      </x:patternFill>
    </x:fill>
    <x:fill>
      <x:patternFill patternType="solid">
        <x:fgColor rgb="FFEAF2FF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horizontal="left"/>
    </x:xf>
    <x:xf numFmtId="0" fontId="6" fillId="0" borderId="0" xfId="0" applyNumberFormat="1" applyFont="1" applyFill="1" applyBorder="1" applyAlignment="1">
      <x:alignment horizontal="left" wrapText="0"/>
    </x:xf>
    <x:xf numFmtId="0" fontId="7" fillId="0" borderId="0" xfId="0" applyNumberFormat="1" applyFont="1" applyFill="1" applyBorder="1" applyAlignment="1">
      <x:alignment wrapText="0"/>
    </x:xf>
    <x:xf numFmtId="200" fontId="3" fillId="0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horizontal="center" vertical="top"/>
    </x:xf>
    <x:xf numFmtId="0" fontId="5" fillId="0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/>
    </x:xf>
    <x:xf numFmtId="0" fontId="8" fillId="2" borderId="0" xfId="0" applyNumberFormat="1" applyFont="1" applyFill="1" applyBorder="1" applyAlignment="1">
      <x:alignment horizontal="center" vertical="top"/>
    </x:xf>
    <x:xf numFmtId="0" fontId="6" fillId="0" borderId="0" xfId="0" applyNumberFormat="1" applyFont="1" applyFill="1" applyBorder="1" applyAlignment="1">
      <x:alignment horizontal="left" vertical="top" wrapText="0"/>
    </x:xf>
    <x:xf numFmtId="0" fontId="7" fillId="0" borderId="0" xfId="0" applyNumberFormat="1" applyFont="1" applyFill="1" applyBorder="1" applyAlignment="1">
      <x:alignment vertical="top" wrapText="0"/>
    </x:xf>
    <x:xf numFmtId="0" fontId="4" fillId="2" borderId="1" xfId="0" applyNumberFormat="1" applyFont="1" applyFill="1" applyBorder="1" applyAlignment="1">
      <x:alignment horizontal="center" vertical="top" wrapText="1"/>
    </x:xf>
    <x:xf numFmtId="0" fontId="8" fillId="0" borderId="0" xfId="0" applyNumberFormat="1" applyFont="1" applyFill="1" applyBorder="1" applyAlignment="1">
      <x:alignment horizontal="left" vertical="top" wrapText="0"/>
    </x:xf>
    <x:xf numFmtId="0" fontId="9" fillId="0" borderId="0" xfId="0" applyNumberFormat="1" applyFont="1" applyFill="1" applyBorder="1" applyAlignment="1">
      <x:alignment vertical="top" wrapText="0"/>
    </x:xf>
    <x:xf numFmtId="0" fontId="8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ont>
        <x:color rgb="FF0B6B2B"/>
      </x:font>
      <x:fill>
        <x:patternFill patternType="solid">
          <x:bgColor rgb="FFE3F8E8"/>
        </x:patternFill>
      </x:fill>
    </x:dxf>
    <x:dxf>
      <x:font>
        <x:b/>
        <x:color rgb="FFA61B1B"/>
      </x:font>
      <x:fill>
        <x:patternFill patternType="solid">
          <x:bgColor rgb="FFFDE2E1"/>
        </x:patternFill>
      </x:fill>
    </x:dxf>
    <x:dxf>
      <x:font>
        <x:b/>
        <x:color rgb="FF8A1C1C"/>
      </x:font>
      <x:fill>
        <x:patternFill patternType="solid">
          <x:bgColor rgb="FFFDE2E1"/>
        </x:patternFill>
      </x:fill>
    </x:dxf>
    <x:dxf>
      <x:font>
        <x:color rgb="FF1F2933"/>
      </x:font>
      <x:fill>
        <x:patternFill patternType="solid"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54daea8beb49c1" /><Relationship Type="http://schemas.openxmlformats.org/officeDocument/2006/relationships/theme" Target="/xl/theme/theme1.xml" Id="Rcf7f2483cac64536" /><Relationship Type="http://schemas.openxmlformats.org/officeDocument/2006/relationships/sharedStrings" Target="/xl/sharedStrings.xml" Id="Rf5ad9ccc16d346ae" /><Relationship Type="http://schemas.openxmlformats.org/officeDocument/2006/relationships/worksheet" Target="/xl/worksheets/sheet1.xml" Id="Rc6ba0e7455ea463b" /><Relationship Type="http://schemas.openxmlformats.org/officeDocument/2006/relationships/worksheet" Target="/xl/worksheets/sheet2.xml" Id="Re656cc400dee4b53" /><Relationship Type="http://schemas.openxmlformats.org/officeDocument/2006/relationships/worksheet" Target="/xl/worksheets/sheet3.xml" Id="Rc8b952e4dce4465d" /><Relationship Type="http://schemas.openxmlformats.org/officeDocument/2006/relationships/worksheet" Target="/xl/worksheets/sheet4.xml" Id="R4ce4798d2dec4b86" /><Relationship Type="http://schemas.openxmlformats.org/officeDocument/2006/relationships/worksheet" Target="/xl/worksheets/sheet5.xml" Id="R9feb9279d6f34072" /><Relationship Type="http://schemas.openxmlformats.org/officeDocument/2006/relationships/worksheet" Target="/xl/worksheets/sheet6.xml" Id="Rf5240369d4a84829" /><Relationship Type="http://schemas.openxmlformats.org/officeDocument/2006/relationships/worksheet" Target="/xl/worksheets/sheet7.xml" Id="R718a5910835149d0" /></Relationships>
</file>

<file path=xl/tables/table1.xml><?xml version="1.0" encoding="utf-8"?>
<x:table xmlns:x="http://schemas.openxmlformats.org/spreadsheetml/2006/main" id="1" name="FactDossierTable" displayName="FactDossierTable" ref="A4:K30" headerRowCount="1" totalsRowCount="0" totalsRowShown="0">
  <x:autoFilter ref="A4:K30"/>
  <x:tableColumns count="11">
    <x:tableColumn id="1" name="ID"/>
    <x:tableColumn id="2" name="Category"/>
    <x:tableColumn id="3" name="Proposed Wikipedia-safe statement"/>
    <x:tableColumn id="4" name="Date / period"/>
    <x:tableColumn id="5" name="Best source ID"/>
    <x:tableColumn id="6" name="Verification status"/>
    <x:tableColumn id="7" name="Source type"/>
    <x:tableColumn id="8" name="Independence"/>
    <x:tableColumn id="9" name="Notability use"/>
    <x:tableColumn id="10" name="Risk / notes"/>
    <x:tableColumn id="11" name="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sTable" displayName="SourcesTable" ref="A4:L22" headerRowCount="1" totalsRowCount="0" totalsRowShown="0">
  <x:autoFilter ref="A4:L22"/>
  <x:tableColumns count="12">
    <x:tableColumn id="1" name="ID"/>
    <x:tableColumn id="2" name="Title"/>
    <x:tableColumn id="3" name="Publisher / owner"/>
    <x:tableColumn id="4" name="Date"/>
    <x:tableColumn id="5" name="URL"/>
    <x:tableColumn id="6" name="Source class"/>
    <x:tableColumn id="7" name="Independence"/>
    <x:tableColumn id="8" name="Coverage depth"/>
    <x:tableColumn id="9" name="Browser / Playwright status"/>
    <x:tableColumn id="10" name="Best use"/>
    <x:tableColumn id="11" name="Notability value"/>
    <x:tableColumn id="12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ooksTable" displayName="BooksTable" ref="A4:L11" headerRowCount="1" totalsRowCount="0" totalsRowShown="0">
  <x:autoFilter ref="A4:L11"/>
  <x:tableColumns count="12">
    <x:tableColumn id="1" name="ID"/>
    <x:tableColumn id="2" name="Title"/>
    <x:tableColumn id="3" name="Subtitle"/>
    <x:tableColumn id="4" name="Author name on listing"/>
    <x:tableColumn id="5" name="Format"/>
    <x:tableColumn id="6" name="Publisher / platform"/>
    <x:tableColumn id="7" name="Date"/>
    <x:tableColumn id="8" name="ISBN / ID"/>
    <x:tableColumn id="9" name="Pages"/>
    <x:tableColumn id="10" name="Source ID"/>
    <x:tableColumn id="11" name="Status"/>
    <x:tableColumn id="12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flictsTable" displayName="ConflictsTable" ref="A4:F12" headerRowCount="1" totalsRowCount="0" totalsRowShown="0">
  <x:autoFilter ref="A4:F12"/>
  <x:tableColumns count="6">
    <x:tableColumn id="1" name="ID"/>
    <x:tableColumn id="2" name="Area"/>
    <x:tableColumn id="3" name="Local source"/>
    <x:tableColumn id="4" name="Current site claim"/>
    <x:tableColumn id="5" name="External evidence status"/>
    <x:tableColumn id="6" name="Recommended treatme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apsTable" displayName="GapsTable" ref="A4:H12" headerRowCount="1" totalsRowCount="0" totalsRowShown="0">
  <x:autoFilter ref="A4:H12"/>
  <x:tableColumns count="8">
    <x:tableColumn id="1" name="ID"/>
    <x:tableColumn id="2" name="Gap"/>
    <x:tableColumn id="3" name="Why it matters"/>
    <x:tableColumn id="4" name="Evidence now"/>
    <x:tableColumn id="5" name="Required next evidence"/>
    <x:tableColumn id="6" name="Owner"/>
    <x:tableColumn id="7" name="Priority"/>
    <x:tableColumn id="8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lanTable" displayName="PlanTable" ref="A4:F9" headerRowCount="1" totalsRowCount="0" totalsRowShown="0">
  <x:autoFilter ref="A4:F9"/>
  <x:tableColumns count="6">
    <x:tableColumn id="1" name="Stage"/>
    <x:tableColumn id="2" name="Objective"/>
    <x:tableColumn id="3" name="Actions"/>
    <x:tableColumn id="4" name="Exit criteria"/>
    <x:tableColumn id="5" name="Risk"/>
    <x:tableColumn id="6" name="Policy/source ID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bebbf023cc14f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8a9a55f45fd446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03228192637481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7b3d02a8de2481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76ed221f5ca4b5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e3a2f3ca7a4494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22" hidden="0" customWidth="1"/>
    <x:col min="4" max="4" width="32" hidden="0" customWidth="1"/>
    <x:col min="5" max="5" width="34" hidden="0" customWidth="1"/>
  </x:cols>
  <x:sheetData>
    <x:row r="1" ht="15" hidden="0" customHeight="1">
      <x:c r="A1" s="32" t="str">
        <x:v>Adeseun Oyeneye Wikipedia fact dossier</x:v>
      </x:c>
      <x:c r="B1" s="28" t="str"/>
      <x:c r="C1" s="28" t="str"/>
      <x:c r="D1" s="28" t="str"/>
      <x:c r="E1" s="28" t="str"/>
    </x:row>
    <x:row r="2" ht="15" hidden="0" customHeight="1">
      <x:c r="A2" s="32" t="str">
        <x:v>Research run date</x:v>
      </x:c>
      <x:c r="B2" s="28" t="str">
        <x:v>2026-10-05</x:v>
      </x:c>
      <x:c r="C2" s="28" t="str"/>
      <x:c r="D2" s="28" t="str"/>
      <x:c r="E2" s="28" t="str"/>
    </x:row>
    <x:row r="3" ht="15" hidden="0" customHeight="1">
      <x:c r="A3" s="32" t="str">
        <x:v>Current readiness</x:v>
      </x:c>
      <x:c r="B3" s="28" t="str">
        <x:v>Not ready for low-risk mainspace publication</x:v>
      </x:c>
      <x:c r="C3" s="28" t="str"/>
      <x:c r="D3" s="28" t="str"/>
      <x:c r="E3" s="28" t="str"/>
    </x:row>
    <x:row r="4" ht="15" hidden="0" customHeight="1">
      <x:c r="A4" s="32" t="str">
        <x:v>Reason</x:v>
      </x:c>
      <x:c r="B4" s="28" t="str">
        <x:v>The source set verifies many facts, but independent significant biographical coverage is still thin.</x:v>
      </x:c>
      <x:c r="C4" s="28" t="str"/>
      <x:c r="D4" s="28" t="str"/>
      <x:c r="E4" s="28" t="str"/>
    </x:row>
    <x:row r="5" ht="15" hidden="0" customHeight="1">
      <x:c r="A5" s="33" t="str">
        <x:v>Metric</x:v>
      </x:c>
      <x:c r="B5" s="33" t="str">
        <x:v>Value</x:v>
      </x:c>
      <x:c r="C5" s="33" t="str">
        <x:v>Formula / source</x:v>
      </x:c>
      <x:c r="D5" s="33" t="str">
        <x:v>Interpretation</x:v>
      </x:c>
      <x:c r="E5" s="33" t="str">
        <x:v>Next action</x:v>
      </x:c>
    </x:row>
    <x:row r="6" ht="15" hidden="0" customHeight="1">
      <x:c r="A6" s="9" t="str">
        <x:v>Fact rows</x:v>
      </x:c>
      <x:c r="B6" s="9" t="str"/>
      <x:c r="C6" s="9" t="n">
        <x:f>COUNTA('Fact dossier'!A5:A200)</x:f>
        <x:v>26</x:v>
      </x:c>
      <x:c r="D6" s="9" t="str">
        <x:v>Evidence inventory size</x:v>
      </x:c>
      <x:c r="E6" s="9" t="str">
        <x:v>Keep adding only source-backed statements</x:v>
      </x:c>
    </x:row>
    <x:row r="7" ht="15" hidden="0" customHeight="1">
      <x:c r="A7" s="9" t="str">
        <x:v>Verified or partly verified fact rows</x:v>
      </x:c>
      <x:c r="B7" s="9" t="str"/>
      <x:c r="C7" s="9" t="n">
        <x:f>COUNTIF('Fact dossier'!F5:F200,"Verified")+COUNTIF('Fact dossier'!F5:F200,"Partially verified")+COUNTIF('Fact dossier'!F5:F200,"Verified for event only")</x:f>
        <x:v>21</x:v>
      </x:c>
      <x:c r="D7" s="9" t="str">
        <x:v>Shows how much is usable for a draft</x:v>
      </x:c>
      <x:c r="E7" s="9" t="str">
        <x:v>Close high-priority gaps</x:v>
      </x:c>
    </x:row>
    <x:row r="8" ht="24" hidden="0" customHeight="1">
      <x:c r="A8" s="9" t="str">
        <x:v>Independent source rows</x:v>
      </x:c>
      <x:c r="B8" s="9" t="str"/>
      <x:c r="C8" s="9" t="n">
        <x:f>COUNTIF(Sources!G5:G100,"Independent")</x:f>
        <x:v>4</x:v>
      </x:c>
      <x:c r="D8" s="9" t="str">
        <x:v>Not all independent rows are significant biography coverage</x:v>
      </x:c>
      <x:c r="E8" s="9" t="str">
        <x:v>Find in-depth profiles</x:v>
      </x:c>
    </x:row>
    <x:row r="9" ht="15" hidden="0" customHeight="1">
      <x:c r="A9" s="9" t="str">
        <x:v>Independent significant source rows</x:v>
      </x:c>
      <x:c r="B9" s="9" t="str"/>
      <x:c r="C9" s="9" t="n">
        <x:f>COUNTIFS(Sources!G5:G100,"Independent",Sources!H5:H100,"Significant")</x:f>
        <x:v>0</x:v>
      </x:c>
      <x:c r="D9" s="9" t="str">
        <x:v>This is the key notability bottleneck</x:v>
      </x:c>
      <x:c r="E9" s="9" t="str">
        <x:v>Target media features and interviews</x:v>
      </x:c>
    </x:row>
    <x:row r="10" ht="15" hidden="0" customHeight="1">
      <x:c r="A10" s="9" t="str">
        <x:v>High-priority open gaps</x:v>
      </x:c>
      <x:c r="B10" s="9" t="str"/>
      <x:c r="C10" s="9" t="n">
        <x:f>COUNTIFS('Gaps &amp; actions'!G5:G100,"High",'Gaps &amp; actions'!H5:H100,"Open")</x:f>
        <x:v>7</x:v>
      </x:c>
      <x:c r="D10" s="9" t="str">
        <x:v>Core work remaining before AfC</x:v>
      </x:c>
      <x:c r="E10" s="9" t="str">
        <x:v>Work these before drafting</x:v>
      </x:c>
    </x:row>
    <x:row r="11" ht="24" hidden="0" customHeight="1">
      <x:c r="A11" s="10" t="str">
        <x:v>Recommendation</x:v>
      </x:c>
      <x:c r="B11" s="10" t="str">
        <x:v>Build a draft only after stronger independent coverage is found.</x:v>
      </x:c>
      <x:c r="C11" s="10" t="str"/>
      <x:c r="D11" s="10" t="str">
        <x:v>Use AfC if connected to the subject.</x:v>
      </x:c>
      <x:c r="E11" s="10" t="str">
        <x:v>Do not publish directly to mainspace yet</x:v>
      </x:c>
    </x:row>
    <x:row r="12" ht="15" hidden="0" customHeight="1">
      <x:c r="A12" s="28"/>
      <x:c r="B12" s="28"/>
      <x:c r="C12" s="28"/>
      <x:c r="D12" s="28"/>
      <x:c r="E12" s="28"/>
    </x:row>
    <x:row r="13" ht="15" hidden="0" customHeight="1">
      <x:c r="A13" s="28"/>
      <x:c r="B13" s="28"/>
      <x:c r="C13" s="28"/>
      <x:c r="D13" s="28"/>
      <x:c r="E13" s="28"/>
    </x:row>
    <x:row r="14" ht="15" hidden="0" customHeight="1">
      <x:c r="A14" s="32" t="str">
        <x:v>Key caution</x:v>
      </x:c>
      <x:c r="B14" s="28"/>
      <x:c r="C14" s="28"/>
      <x:c r="D14" s="28"/>
      <x:c r="E14" s="28"/>
    </x:row>
    <x:row r="15" ht="15" hidden="0" customHeight="1">
      <x:c r="A15" s="31" t="str">
        <x:v>Wikipedia can use primary and affiliated sources to verify limited facts, but they do not establish notability. The current dossier has facts, not yet enough independent profile-depth coverage.</x:v>
      </x:c>
      <x:c r="B15" s="31" t="str"/>
      <x:c r="C15" s="31" t="str"/>
      <x:c r="D15" s="31" t="str"/>
      <x:c r="E15" s="31" t="str"/>
    </x:row>
    <x:row r="16" ht="15" hidden="0" customHeight="1">
      <x:c r="A16" s="31" t="str">
        <x:v>Use Articles for Creation if anyone connected to the subject is involved. Keep the draft short, neutral, and conservative under BLP rules.</x:v>
      </x:c>
      <x:c r="B16" s="31" t="str"/>
      <x:c r="C16" s="31" t="str"/>
      <x:c r="D16" s="31" t="str"/>
      <x:c r="E16" s="31" t="str"/>
    </x:row>
    <x:row r="17" ht="15" hidden="0" customHeight="1">
      <x:c r="A17" s="31" t="str">
        <x:v>Do not include private/public-record personal details, unsourced precise book counts, or inflated career claims.</x:v>
      </x:c>
      <x:c r="B17" s="31" t="str"/>
      <x:c r="C17" s="31" t="str"/>
      <x:c r="D17" s="31" t="str"/>
      <x:c r="E17" s="31" t="str"/>
    </x:row>
  </x:sheetData>
  <x:mergeCells>
    <x:mergeCell ref="A1:E1"/>
    <x:mergeCell ref="A15:E15"/>
    <x:mergeCell ref="A16:E16"/>
    <x:mergeCell ref="A17:E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48" hidden="0" customWidth="1"/>
    <x:col min="4" max="4" width="18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  <x:col min="9" max="9" width="16" hidden="0" customWidth="1"/>
    <x:col min="10" max="10" width="44" hidden="0" customWidth="1"/>
    <x:col min="11" max="11" width="44" hidden="0" customWidth="1"/>
  </x:cols>
  <x:sheetData>
    <x:row r="1" ht="15" hidden="0" customHeight="1">
      <x:c r="A1" s="37" t="str">
        <x:v>Fact dossier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</x:row>
    <x:row r="2" ht="15" hidden="0" customHeight="1">
      <x:c r="A2" s="38" t="str">
        <x:v>As of 2026-10-05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</x:row>
    <x:row r="3" ht="15" hidden="0" customHeight="1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</x:row>
    <x:row r="4" ht="15" hidden="0" customHeight="1">
      <x:c r="A4" s="39" t="str">
        <x:v>ID</x:v>
      </x:c>
      <x:c r="B4" s="39" t="str">
        <x:v>Category</x:v>
      </x:c>
      <x:c r="C4" s="39" t="str">
        <x:v>Proposed Wikipedia-safe statement</x:v>
      </x:c>
      <x:c r="D4" s="39" t="str">
        <x:v>Date / period</x:v>
      </x:c>
      <x:c r="E4" s="39" t="str">
        <x:v>Best source ID</x:v>
      </x:c>
      <x:c r="F4" s="39" t="str">
        <x:v>Verification status</x:v>
      </x:c>
      <x:c r="G4" s="39" t="str">
        <x:v>Source type</x:v>
      </x:c>
      <x:c r="H4" s="39" t="str">
        <x:v>Independence</x:v>
      </x:c>
      <x:c r="I4" s="39" t="str">
        <x:v>Notability use</x:v>
      </x:c>
      <x:c r="J4" s="39" t="str">
        <x:v>Risk / notes</x:v>
      </x:c>
      <x:c r="K4" s="39" t="str">
        <x:v>URL</x:v>
      </x:c>
    </x:row>
    <x:row r="5" ht="24" hidden="0" customHeight="1">
      <x:c r="A5" s="9" t="str">
        <x:v>F01</x:v>
      </x:c>
      <x:c r="B5" s="9" t="str">
        <x:v>Name</x:v>
      </x:c>
      <x:c r="C5" s="9" t="str">
        <x:v>Use 'Adeseun Oyeneye' as the current article-title candidate.</x:v>
      </x:c>
      <x:c r="D5" s="9" t="str">
        <x:v>Current</x:v>
      </x:c>
      <x:c r="E5" s="9" t="str">
        <x:v>S01, S02, S04, S05, S06</x:v>
      </x:c>
      <x:c r="F5" s="9" t="str">
        <x:v>Verified</x:v>
      </x:c>
      <x:c r="G5" s="9" t="str">
        <x:v>Mixed</x:v>
      </x:c>
      <x:c r="H5" s="9" t="str">
        <x:v>Mixed</x:v>
      </x:c>
      <x:c r="I5" s="9" t="str">
        <x:v>No</x:v>
      </x:c>
      <x:c r="J5" s="9" t="str">
        <x:v>Common name is consistent across government, media, award, project and book sources.</x:v>
      </x:c>
      <x:c r="K5" s="9" t="str">
        <x:v>https://legiscan.com/GA/bill/HR963/2023</x:v>
      </x:c>
    </x:row>
    <x:row r="6" ht="36" hidden="0" customHeight="1">
      <x:c r="A6" s="9" t="str">
        <x:v>F02</x:v>
      </x:c>
      <x:c r="B6" s="9" t="str">
        <x:v>Name variant</x:v>
      </x:c>
      <x:c r="C6" s="9" t="str">
        <x:v>Record 'Adeseun Kolawole-Oyeneye' as a published name variant.</x:v>
      </x:c>
      <x:c r="D6" s="9" t="str">
        <x:v>2019</x:v>
      </x:c>
      <x:c r="E6" s="9" t="str">
        <x:v>S03</x:v>
      </x:c>
      <x:c r="F6" s="9" t="str">
        <x:v>Verified</x:v>
      </x:c>
      <x:c r="G6" s="9" t="str">
        <x:v>Secondary</x:v>
      </x:c>
      <x:c r="H6" s="9" t="str">
        <x:v>Independent</x:v>
      </x:c>
      <x:c r="I6" s="9" t="str">
        <x:v>Partial</x:v>
      </x:c>
      <x:c r="J6" s="9" t="str">
        <x:v>Use only if needed for source continuity; avoid overloading the lead.</x:v>
      </x:c>
      <x:c r="K6" s="9" t="str">
        <x:v>https://www.nigeriacommunicationsweek.com.ng/smooth-productions-drags-heritage-bank-to-court-over-n185-million-transaction-dispute</x:v>
      </x:c>
    </x:row>
    <x:row r="7" ht="24" hidden="0" customHeight="1">
      <x:c r="A7" s="9" t="str">
        <x:v>F03</x:v>
      </x:c>
      <x:c r="B7" s="9" t="str">
        <x:v>Name variant</x:v>
      </x:c>
      <x:c r="C7" s="9" t="str">
        <x:v>Record 'Adeseun Oladunsi Oyeneye' as a book-market name variant.</x:v>
      </x:c>
      <x:c r="D7" s="9" t="str">
        <x:v>n.a.</x:v>
      </x:c>
      <x:c r="E7" s="9" t="str">
        <x:v>S12</x:v>
      </x:c>
      <x:c r="F7" s="9" t="str">
        <x:v>Verified</x:v>
      </x:c>
      <x:c r="G7" s="9" t="str">
        <x:v>Retail metadata</x:v>
      </x:c>
      <x:c r="H7" s="9" t="str">
        <x:v>Independent platform</x:v>
      </x:c>
      <x:c r="I7" s="9" t="str">
        <x:v>No</x:v>
      </x:c>
      <x:c r="J7" s="9" t="str">
        <x:v>Useful for bibliography searches and redirects, not a biographical claim.</x:v>
      </x:c>
      <x:c r="K7" s="9" t="str">
        <x:v>https://www.thriftbooks.com/a/adeseun-oladunsi-oyeneye/10733558/</x:v>
      </x:c>
    </x:row>
    <x:row r="8" ht="24" hidden="0" customHeight="1">
      <x:c r="A8" s="9" t="str">
        <x:v>F04</x:v>
      </x:c>
      <x:c r="B8" s="9" t="str">
        <x:v>Career length</x:v>
      </x:c>
      <x:c r="C8" s="9" t="str">
        <x:v>Georgia HR963 says she had a 23-year media and marketing career when adopted in January 2024.</x:v>
      </x:c>
      <x:c r="D8" s="9" t="str">
        <x:v>2024-01-31</x:v>
      </x:c>
      <x:c r="E8" s="9" t="str">
        <x:v>S01</x:v>
      </x:c>
      <x:c r="F8" s="9" t="str">
        <x:v>Verified</x:v>
      </x:c>
      <x:c r="G8" s="9" t="str">
        <x:v>Primary</x:v>
      </x:c>
      <x:c r="H8" s="9" t="str">
        <x:v>Primary</x:v>
      </x:c>
      <x:c r="I8" s="9" t="str">
        <x:v>No</x:v>
      </x:c>
      <x:c r="J8" s="9" t="str">
        <x:v>This conflicts with repo copy claiming 26 years. Wikipedia should not calculate/update without a published source.</x:v>
      </x:c>
      <x:c r="K8" s="9" t="str">
        <x:v>https://legiscan.com/GA/bill/HR963/2023</x:v>
      </x:c>
    </x:row>
    <x:row r="9" ht="24" hidden="0" customHeight="1">
      <x:c r="A9" s="9" t="str">
        <x:v>F05</x:v>
      </x:c>
      <x:c r="B9" s="9" t="str">
        <x:v>Roles</x:v>
      </x:c>
      <x:c r="C9" s="9" t="str">
        <x:v>Georgia HR963 names her as founder of Universal Worship Network.</x:v>
      </x:c>
      <x:c r="D9" s="9" t="str">
        <x:v>2024-01-31</x:v>
      </x:c>
      <x:c r="E9" s="9" t="str">
        <x:v>S01</x:v>
      </x:c>
      <x:c r="F9" s="9" t="str">
        <x:v>Verified</x:v>
      </x:c>
      <x:c r="G9" s="9" t="str">
        <x:v>Primary</x:v>
      </x:c>
      <x:c r="H9" s="9" t="str">
        <x:v>Primary</x:v>
      </x:c>
      <x:c r="I9" s="9" t="str">
        <x:v>No</x:v>
      </x:c>
      <x:c r="J9" s="9" t="str">
        <x:v>Needs independent or organization source before article body use.</x:v>
      </x:c>
      <x:c r="K9" s="9" t="str">
        <x:v>https://legiscan.com/GA/bill/HR963/2023</x:v>
      </x:c>
    </x:row>
    <x:row r="10" ht="24" hidden="0" customHeight="1">
      <x:c r="A10" s="9" t="str">
        <x:v>F06</x:v>
      </x:c>
      <x:c r="B10" s="9" t="str">
        <x:v>Roles</x:v>
      </x:c>
      <x:c r="C10" s="9" t="str">
        <x:v>Georgia HR963 names her as president of ThreeSixty Africa Media.</x:v>
      </x:c>
      <x:c r="D10" s="9" t="str">
        <x:v>2024-01-31</x:v>
      </x:c>
      <x:c r="E10" s="9" t="str">
        <x:v>S01</x:v>
      </x:c>
      <x:c r="F10" s="9" t="str">
        <x:v>Verified</x:v>
      </x:c>
      <x:c r="G10" s="9" t="str">
        <x:v>Primary</x:v>
      </x:c>
      <x:c r="H10" s="9" t="str">
        <x:v>Primary</x:v>
      </x:c>
      <x:c r="I10" s="9" t="str">
        <x:v>No</x:v>
      </x:c>
      <x:c r="J10" s="9" t="str">
        <x:v>Do not replace with VP/360Africa Media Group unless that exact wording is independently sourced.</x:v>
      </x:c>
      <x:c r="K10" s="9" t="str">
        <x:v>https://legiscan.com/GA/bill/HR963/2023</x:v>
      </x:c>
    </x:row>
    <x:row r="11" ht="24" hidden="0" customHeight="1">
      <x:c r="A11" s="9" t="str">
        <x:v>F07</x:v>
      </x:c>
      <x:c r="B11" s="9" t="str">
        <x:v>Roles</x:v>
      </x:c>
      <x:c r="C11" s="9" t="str">
        <x:v>Georgia HR963 names her as creative director of Bounty5 Homes.</x:v>
      </x:c>
      <x:c r="D11" s="9" t="str">
        <x:v>2024-01-31</x:v>
      </x:c>
      <x:c r="E11" s="9" t="str">
        <x:v>S01</x:v>
      </x:c>
      <x:c r="F11" s="9" t="str">
        <x:v>Verified</x:v>
      </x:c>
      <x:c r="G11" s="9" t="str">
        <x:v>Primary</x:v>
      </x:c>
      <x:c r="H11" s="9" t="str">
        <x:v>Primary</x:v>
      </x:c>
      <x:c r="I11" s="9" t="str">
        <x:v>No</x:v>
      </x:c>
      <x:c r="J11" s="9" t="str">
        <x:v>Needs company or independent source before article body use.</x:v>
      </x:c>
      <x:c r="K11" s="9" t="str">
        <x:v>https://legiscan.com/GA/bill/HR963/2023</x:v>
      </x:c>
    </x:row>
    <x:row r="12" ht="24" hidden="0" customHeight="1">
      <x:c r="A12" s="9" t="str">
        <x:v>F08</x:v>
      </x:c>
      <x:c r="B12" s="9" t="str">
        <x:v>Roles</x:v>
      </x:c>
      <x:c r="C12" s="9" t="str">
        <x:v>Georgia HR963 names her as managing director of Smooth Promotions.</x:v>
      </x:c>
      <x:c r="D12" s="9" t="str">
        <x:v>2024-01-31</x:v>
      </x:c>
      <x:c r="E12" s="9" t="str">
        <x:v>S01</x:v>
      </x:c>
      <x:c r="F12" s="9" t="str">
        <x:v>Verified</x:v>
      </x:c>
      <x:c r="G12" s="9" t="str">
        <x:v>Primary</x:v>
      </x:c>
      <x:c r="H12" s="9" t="str">
        <x:v>Primary</x:v>
      </x:c>
      <x:c r="I12" s="9" t="str">
        <x:v>No</x:v>
      </x:c>
      <x:c r="J12" s="9" t="str">
        <x:v>S03 separately supports Smooth Promotions executive role using a variant name.</x:v>
      </x:c>
      <x:c r="K12" s="9" t="str">
        <x:v>https://legiscan.com/GA/bill/HR963/2023</x:v>
      </x:c>
    </x:row>
    <x:row r="13" ht="24" hidden="0" customHeight="1">
      <x:c r="A13" s="9" t="str">
        <x:v>F09</x:v>
      </x:c>
      <x:c r="B13" s="9" t="str">
        <x:v>Roles</x:v>
      </x:c>
      <x:c r="C13" s="9" t="str">
        <x:v>Business Post calls her executive producer of Headies Mic Check.</x:v>
      </x:c>
      <x:c r="D13" s="9" t="str">
        <x:v>2023-08-23</x:v>
      </x:c>
      <x:c r="E13" s="9" t="str">
        <x:v>S02</x:v>
      </x:c>
      <x:c r="F13" s="9" t="str">
        <x:v>Verified</x:v>
      </x:c>
      <x:c r="G13" s="9" t="str">
        <x:v>Secondary</x:v>
      </x:c>
      <x:c r="H13" s="9" t="str">
        <x:v>Independent</x:v>
      </x:c>
      <x:c r="I13" s="9" t="str">
        <x:v>Partial</x:v>
      </x:c>
      <x:c r="J13" s="9" t="str">
        <x:v>Project-focused source; usable for a sourced career sentence if article exists.</x:v>
      </x:c>
      <x:c r="K13" s="9" t="str">
        <x:v>https://businesspost.ng/showbiz/20-battle-for-headies-mic-check-grand-prizes/</x:v>
      </x:c>
    </x:row>
    <x:row r="14" ht="24" hidden="0" customHeight="1">
      <x:c r="A14" s="9" t="str">
        <x:v>F10</x:v>
      </x:c>
      <x:c r="B14" s="9" t="str">
        <x:v>Roles</x:v>
      </x:c>
      <x:c r="C14" s="9" t="str">
        <x:v>The Headies profile PDF labels her Co-Executive Producer, The Headies.</x:v>
      </x:c>
      <x:c r="D14" s="9" t="str">
        <x:v>2025-08</x:v>
      </x:c>
      <x:c r="E14" s="9" t="str">
        <x:v>S05</x:v>
      </x:c>
      <x:c r="F14" s="9" t="str">
        <x:v>Verified</x:v>
      </x:c>
      <x:c r="G14" s="9" t="str">
        <x:v>Affiliated</x:v>
      </x:c>
      <x:c r="H14" s="9" t="str">
        <x:v>Affiliated</x:v>
      </x:c>
      <x:c r="I14" s="9" t="str">
        <x:v>No</x:v>
      </x:c>
      <x:c r="J14" s="9" t="str">
        <x:v>Affiliated source. Use as role verification only, not notability proof.</x:v>
      </x:c>
      <x:c r="K14" s="9" t="str">
        <x:v>https://theheadies.com/wp-content/uploads/2025/08/THE-HEADIES-PROFILE.pdf</x:v>
      </x:c>
    </x:row>
    <x:row r="15" ht="24" hidden="0" customHeight="1">
      <x:c r="A15" s="9" t="str">
        <x:v>F11</x:v>
      </x:c>
      <x:c r="B15" s="9" t="str">
        <x:v>Project</x:v>
      </x:c>
      <x:c r="C15" s="9" t="str">
        <x:v>Headies Mic Check was a build-up event for the 16th Headies Award in Atlanta.</x:v>
      </x:c>
      <x:c r="D15" s="9" t="str">
        <x:v>2023-09-03 event scheduled</x:v>
      </x:c>
      <x:c r="E15" s="9" t="str">
        <x:v>S02</x:v>
      </x:c>
      <x:c r="F15" s="9" t="str">
        <x:v>Verified</x:v>
      </x:c>
      <x:c r="G15" s="9" t="str">
        <x:v>Secondary</x:v>
      </x:c>
      <x:c r="H15" s="9" t="str">
        <x:v>Independent</x:v>
      </x:c>
      <x:c r="I15" s="9" t="str">
        <x:v>Partial</x:v>
      </x:c>
      <x:c r="J15" s="9" t="str">
        <x:v>This supports project context, not a standalone biography.</x:v>
      </x:c>
      <x:c r="K15" s="9" t="str">
        <x:v>https://businesspost.ng/showbiz/20-battle-for-headies-mic-check-grand-prizes/</x:v>
      </x:c>
    </x:row>
    <x:row r="16" ht="24" hidden="0" customHeight="1">
      <x:c r="A16" s="9" t="str">
        <x:v>F12</x:v>
      </x:c>
      <x:c r="B16" s="9" t="str">
        <x:v>Government honor</x:v>
      </x:c>
      <x:c r="C16" s="9" t="str">
        <x:v>Georgia HR963 was adopted by the Georgia House on January 31, 2024, recognizing and commending Adeseun Oyeneye.</x:v>
      </x:c>
      <x:c r="D16" s="9" t="str">
        <x:v>2024-01-31</x:v>
      </x:c>
      <x:c r="E16" s="9" t="str">
        <x:v>S01</x:v>
      </x:c>
      <x:c r="F16" s="9" t="str">
        <x:v>Verified</x:v>
      </x:c>
      <x:c r="G16" s="9" t="str">
        <x:v>Primary</x:v>
      </x:c>
      <x:c r="H16" s="9" t="str">
        <x:v>Primary</x:v>
      </x:c>
      <x:c r="I16" s="9" t="str">
        <x:v>Low</x:v>
      </x:c>
      <x:c r="J16" s="9" t="str">
        <x:v>An adopted commendation is an honor but likely insufficient by itself for WP:ANYBIO.</x:v>
      </x:c>
      <x:c r="K16" s="9" t="str">
        <x:v>https://legiscan.com/GA/bill/HR963/2023</x:v>
      </x:c>
    </x:row>
    <x:row r="17" ht="24" hidden="0" customHeight="1">
      <x:c r="A17" s="9" t="str">
        <x:v>F13</x:v>
      </x:c>
      <x:c r="B17" s="9" t="str">
        <x:v>Education</x:v>
      </x:c>
      <x:c r="C17" s="9" t="str">
        <x:v>NIFS awardee page says she is a graduate of Obafemi Awolowo University and New York School of Interior Design.</x:v>
      </x:c>
      <x:c r="D17" s="9" t="str">
        <x:v>n.a.</x:v>
      </x:c>
      <x:c r="E17" s="9" t="str">
        <x:v>S04</x:v>
      </x:c>
      <x:c r="F17" s="9" t="str">
        <x:v>Verified</x:v>
      </x:c>
      <x:c r="G17" s="9" t="str">
        <x:v>Organizer listing</x:v>
      </x:c>
      <x:c r="H17" s="9" t="str">
        <x:v>Affiliated / organizer</x:v>
      </x:c>
      <x:c r="I17" s="9" t="str">
        <x:v>No</x:v>
      </x:c>
      <x:c r="J17" s="9" t="str">
        <x:v>Confirm with institutional or independent sources before using in a BLP.</x:v>
      </x:c>
      <x:c r="K17" s="9" t="str">
        <x:v>https://nifsummit.com/eko-star/awardees</x:v>
      </x:c>
    </x:row>
    <x:row r="18" ht="24" hidden="0" customHeight="1">
      <x:c r="A18" s="9" t="str">
        <x:v>F14</x:v>
      </x:c>
      <x:c r="B18" s="9" t="str">
        <x:v>Award</x:v>
      </x:c>
      <x:c r="C18" s="9" t="str">
        <x:v>NIFS lists Adeseun Oyeneye among Eko Star Awardees.</x:v>
      </x:c>
      <x:c r="D18" s="9" t="str">
        <x:v>n.a.</x:v>
      </x:c>
      <x:c r="E18" s="9" t="str">
        <x:v>S04</x:v>
      </x:c>
      <x:c r="F18" s="9" t="str">
        <x:v>Verified</x:v>
      </x:c>
      <x:c r="G18" s="9" t="str">
        <x:v>Organizer listing</x:v>
      </x:c>
      <x:c r="H18" s="9" t="str">
        <x:v>Affiliated / organizer</x:v>
      </x:c>
      <x:c r="I18" s="9" t="str">
        <x:v>Low</x:v>
      </x:c>
      <x:c r="J18" s="9" t="str">
        <x:v>Need year, exact award name, organizer criteria and independent coverage.</x:v>
      </x:c>
      <x:c r="K18" s="9" t="str">
        <x:v>https://nifsummit.com/eko-star/awardees</x:v>
      </x:c>
    </x:row>
    <x:row r="19" ht="24" hidden="0" customHeight="1">
      <x:c r="A19" s="9" t="str">
        <x:v>F15</x:v>
      </x:c>
      <x:c r="B19" s="9" t="str">
        <x:v>Books</x:v>
      </x:c>
      <x:c r="C19" s="9" t="str">
        <x:v>Think Before You Speak has a Lulu paperback edition by Adeseun Oyeneye, publication date Nov 30, 2023, 200 pages.</x:v>
      </x:c>
      <x:c r="D19" s="9" t="str">
        <x:v>2023-11-30</x:v>
      </x:c>
      <x:c r="E19" s="9" t="str">
        <x:v>S06</x:v>
      </x:c>
      <x:c r="F19" s="9" t="str">
        <x:v>Verified</x:v>
      </x:c>
      <x:c r="G19" s="9" t="str">
        <x:v>Retail metadata</x:v>
      </x:c>
      <x:c r="H19" s="9" t="str">
        <x:v>Independent platform</x:v>
      </x:c>
      <x:c r="I19" s="9" t="str">
        <x:v>No</x:v>
      </x:c>
      <x:c r="J19" s="9" t="str">
        <x:v>Use in bibliography only if article becomes viable.</x:v>
      </x:c>
      <x:c r="K19" s="9" t="str">
        <x:v>https://www.lulu.com/shop/adeseun-oyeneye/think-before-you-speak/paperback/product-rmm8edn.html</x:v>
      </x:c>
    </x:row>
    <x:row r="20" ht="36" hidden="0" customHeight="1">
      <x:c r="A20" s="9" t="str">
        <x:v>F16</x:v>
      </x:c>
      <x:c r="B20" s="9" t="str">
        <x:v>Books</x:v>
      </x:c>
      <x:c r="C20" s="9" t="str">
        <x:v>Think Before You Speak has a Kobo ebook entry by Adeseun Oyeneye, release date Nov 24, 2023, publisher Agbalumo Publishing, ISBN/book ID 1230007103186.</x:v>
      </x:c>
      <x:c r="D20" s="9" t="str">
        <x:v>2023-11-24</x:v>
      </x:c>
      <x:c r="E20" s="9" t="str">
        <x:v>S07</x:v>
      </x:c>
      <x:c r="F20" s="9" t="str">
        <x:v>Verified</x:v>
      </x:c>
      <x:c r="G20" s="9" t="str">
        <x:v>Retail metadata</x:v>
      </x:c>
      <x:c r="H20" s="9" t="str">
        <x:v>Independent platform</x:v>
      </x:c>
      <x:c r="I20" s="9" t="str">
        <x:v>No</x:v>
      </x:c>
      <x:c r="J20" s="9" t="str">
        <x:v>Treat as a separate edition from the Lulu paperback.</x:v>
      </x:c>
      <x:c r="K20" s="9" t="str">
        <x:v>https://www.kobo.com/ph/en/ebook/think-before-you-speak-3</x:v>
      </x:c>
    </x:row>
    <x:row r="21" ht="24" hidden="0" customHeight="1">
      <x:c r="A21" s="9" t="str">
        <x:v>F17</x:v>
      </x:c>
      <x:c r="B21" s="9" t="str">
        <x:v>Books</x:v>
      </x:c>
      <x:c r="C21" s="9" t="str">
        <x:v>Beyond the Mundane is listed as a 2024 paperback by Adeseun Oyeneye, ISBN 9798878248259, 270 pages.</x:v>
      </x:c>
      <x:c r="D21" s="9" t="str">
        <x:v>2024-02-05</x:v>
      </x:c>
      <x:c r="E21" s="9" t="str">
        <x:v>S08</x:v>
      </x:c>
      <x:c r="F21" s="9" t="str">
        <x:v>Partially verified</x:v>
      </x:c>
      <x:c r="G21" s="9" t="str">
        <x:v>Retail metadata</x:v>
      </x:c>
      <x:c r="H21" s="9" t="str">
        <x:v>Independent platform</x:v>
      </x:c>
      <x:c r="I21" s="9" t="str">
        <x:v>No</x:v>
      </x:c>
      <x:c r="J21" s="9" t="str">
        <x:v>Playwright was rate-limited; confirm through another live catalog before final draft.</x:v>
      </x:c>
      <x:c r="K21" s="9" t="str">
        <x:v>https://www.adlibris.com/nb/bok/beyond-the-mundane-9798878248259</x:v>
      </x:c>
    </x:row>
    <x:row r="22" ht="36" hidden="0" customHeight="1">
      <x:c r="A22" s="9" t="str">
        <x:v>F18</x:v>
      </x:c>
      <x:c r="B22" s="9" t="str">
        <x:v>Books</x:v>
      </x:c>
      <x:c r="C22" s="9" t="str">
        <x:v>Georgia HR963 names Think Before You Speak, Beyond the Mundane, Positive Negative, The Future Is Now and Black is Beautiful.</x:v>
      </x:c>
      <x:c r="D22" s="9" t="str">
        <x:v>2024-01-31</x:v>
      </x:c>
      <x:c r="E22" s="9" t="str">
        <x:v>S01</x:v>
      </x:c>
      <x:c r="F22" s="9" t="str">
        <x:v>Verified</x:v>
      </x:c>
      <x:c r="G22" s="9" t="str">
        <x:v>Primary</x:v>
      </x:c>
      <x:c r="H22" s="9" t="str">
        <x:v>Primary</x:v>
      </x:c>
      <x:c r="I22" s="9" t="str">
        <x:v>No</x:v>
      </x:c>
      <x:c r="J22" s="9" t="str">
        <x:v>Primary source confirms claimed titles, not publication metadata or reception.</x:v>
      </x:c>
      <x:c r="K22" s="9" t="str">
        <x:v>https://legiscan.com/GA/bill/HR963/2023</x:v>
      </x:c>
    </x:row>
    <x:row r="23" ht="24" hidden="0" customHeight="1">
      <x:c r="A23" s="9" t="str">
        <x:v>F19</x:v>
      </x:c>
      <x:c r="B23" s="9" t="str">
        <x:v>Books</x:v>
      </x:c>
      <x:c r="C23" s="9" t="str">
        <x:v>The Future Is Now appears in 2026 retail listings with ISBN 9798194433728.</x:v>
      </x:c>
      <x:c r="D23" s="9" t="str">
        <x:v>2026</x:v>
      </x:c>
      <x:c r="E23" s="9" t="str">
        <x:v>S14</x:v>
      </x:c>
      <x:c r="F23" s="9" t="str">
        <x:v>Lead only</x:v>
      </x:c>
      <x:c r="G23" s="9" t="str">
        <x:v>Retail search / repo claim</x:v>
      </x:c>
      <x:c r="H23" s="9" t="str">
        <x:v>Mixed</x:v>
      </x:c>
      <x:c r="I23" s="9" t="str">
        <x:v>No</x:v>
      </x:c>
      <x:c r="J23" s="9" t="str">
        <x:v>Because this is after HR963 and not yet source-checked with Playwright, keep out of draft until verified.</x:v>
      </x:c>
      <x:c r="K23" s="9" t="str">
        <x:v>local and search leads</x:v>
      </x:c>
    </x:row>
    <x:row r="24" ht="36" hidden="0" customHeight="1">
      <x:c r="A24" s="9" t="str">
        <x:v>F20</x:v>
      </x:c>
      <x:c r="B24" s="9" t="str">
        <x:v>Brands/clients</x:v>
      </x:c>
      <x:c r="C24" s="9" t="str">
        <x:v>Georgia HR963 says she worked with Olympics, Unilever, MTN, Coca-Cola, Airtel, Google, Sony, Samsung, YouTube and Guinness.</x:v>
      </x:c>
      <x:c r="D24" s="9" t="str">
        <x:v>2024-01-31</x:v>
      </x:c>
      <x:c r="E24" s="9" t="str">
        <x:v>S01</x:v>
      </x:c>
      <x:c r="F24" s="9" t="str">
        <x:v>Verified</x:v>
      </x:c>
      <x:c r="G24" s="9" t="str">
        <x:v>Primary</x:v>
      </x:c>
      <x:c r="H24" s="9" t="str">
        <x:v>Primary</x:v>
      </x:c>
      <x:c r="I24" s="9" t="str">
        <x:v>No</x:v>
      </x:c>
      <x:c r="J24" s="9" t="str">
        <x:v>Do not present as direct clients unless the source wording and relationship are clear; seek project documents.</x:v>
      </x:c>
      <x:c r="K24" s="9" t="str">
        <x:v>https://legiscan.com/GA/bill/HR963/2023</x:v>
      </x:c>
    </x:row>
    <x:row r="25" ht="24" hidden="0" customHeight="1">
      <x:c r="A25" s="9" t="str">
        <x:v>F21</x:v>
      </x:c>
      <x:c r="B25" s="9" t="str">
        <x:v>Government role</x:v>
      </x:c>
      <x:c r="C25" s="9" t="str">
        <x:v>Georgia HR963 says she was office manager at the Presidential Villa, State House Abuja.</x:v>
      </x:c>
      <x:c r="D25" s="9" t="str">
        <x:v>n.a.</x:v>
      </x:c>
      <x:c r="E25" s="9" t="str">
        <x:v>S01</x:v>
      </x:c>
      <x:c r="F25" s="9" t="str">
        <x:v>Verified</x:v>
      </x:c>
      <x:c r="G25" s="9" t="str">
        <x:v>Primary</x:v>
      </x:c>
      <x:c r="H25" s="9" t="str">
        <x:v>Primary</x:v>
      </x:c>
      <x:c r="I25" s="9" t="str">
        <x:v>No</x:v>
      </x:c>
      <x:c r="J25" s="9" t="str">
        <x:v>Needs independent/government confirmation before inclusion.</x:v>
      </x:c>
      <x:c r="K25" s="9" t="str">
        <x:v>https://legiscan.com/GA/bill/HR963/2023</x:v>
      </x:c>
    </x:row>
    <x:row r="26" ht="24" hidden="0" customHeight="1">
      <x:c r="A26" s="9" t="str">
        <x:v>F22</x:v>
      </x:c>
      <x:c r="B26" s="9" t="str">
        <x:v>AFRICAST</x:v>
      </x:c>
      <x:c r="C26" s="9" t="str">
        <x:v>Guardian verifies AFRICAST 2025 event context but captured text does not name Adeseun Oyeneye.</x:v>
      </x:c>
      <x:c r="D26" s="9" t="str">
        <x:v>2025-10-28</x:v>
      </x:c>
      <x:c r="E26" s="9" t="str">
        <x:v>S09</x:v>
      </x:c>
      <x:c r="F26" s="9" t="str">
        <x:v>Verified for event only</x:v>
      </x:c>
      <x:c r="G26" s="9" t="str">
        <x:v>Secondary</x:v>
      </x:c>
      <x:c r="H26" s="9" t="str">
        <x:v>Independent</x:v>
      </x:c>
      <x:c r="I26" s="9" t="str">
        <x:v>Low</x:v>
      </x:c>
      <x:c r="J26" s="9" t="str">
        <x:v>Do not use Guardian for her role unless another page or archive directly names her.</x:v>
      </x:c>
      <x:c r="K26" s="9" t="str">
        <x:v>https://guardian.ng/features/media/at-africast-2025-stakeholders-canvass-resilient-media-ecosystem/</x:v>
      </x:c>
    </x:row>
    <x:row r="27" ht="24" hidden="0" customHeight="1">
      <x:c r="A27" s="9" t="str">
        <x:v>F23</x:v>
      </x:c>
      <x:c r="B27" s="9" t="str">
        <x:v>AFRICAST</x:v>
      </x:c>
      <x:c r="C27" s="9" t="str">
        <x:v>Radio Now may mention her AFRICAST role, but Playwright received a 403 page.</x:v>
      </x:c>
      <x:c r="D27" s="9" t="str">
        <x:v>2025-05-09</x:v>
      </x:c>
      <x:c r="E27" s="9" t="str">
        <x:v>S10</x:v>
      </x:c>
      <x:c r="F27" s="9" t="str">
        <x:v>Unverified</x:v>
      </x:c>
      <x:c r="G27" s="9" t="str">
        <x:v>Secondary</x:v>
      </x:c>
      <x:c r="H27" s="9" t="str">
        <x:v>Independent</x:v>
      </x:c>
      <x:c r="I27" s="9" t="str">
        <x:v>Potential</x:v>
      </x:c>
      <x:c r="J27" s="9" t="str">
        <x:v>Find an accessible copy before using.</x:v>
      </x:c>
      <x:c r="K27" s="9" t="str">
        <x:v>https://thisisradionow.com/nbc-to-amend-broadcast-code-to-address-ai-and-digital-media-challenges/</x:v>
      </x:c>
    </x:row>
    <x:row r="28" ht="24" hidden="0" customHeight="1">
      <x:c r="A28" s="9" t="str">
        <x:v>F24</x:v>
      </x:c>
      <x:c r="B28" s="9" t="str">
        <x:v>3Sixty role</x:v>
      </x:c>
      <x:c r="C28" s="9" t="str">
        <x:v>Current 3Sixty Africa contact page did not show Adeseun or VP wording in the Playwright snapshot.</x:v>
      </x:c>
      <x:c r="D28" s="9" t="str">
        <x:v>2026-10-05</x:v>
      </x:c>
      <x:c r="E28" s="9" t="str">
        <x:v>S13</x:v>
      </x:c>
      <x:c r="F28" s="9" t="str">
        <x:v>Current page checked</x:v>
      </x:c>
      <x:c r="G28" s="9" t="str">
        <x:v>Corporate</x:v>
      </x:c>
      <x:c r="H28" s="9" t="str">
        <x:v>Affiliated</x:v>
      </x:c>
      <x:c r="I28" s="9" t="str">
        <x:v>No</x:v>
      </x:c>
      <x:c r="J28" s="9" t="str">
        <x:v>Repo's VP wording needs a current source. Search index text is not enough.</x:v>
      </x:c>
      <x:c r="K28" s="9" t="str">
        <x:v>https://3sixtyafrica.com/contact/</x:v>
      </x:c>
    </x:row>
    <x:row r="29" ht="24" hidden="0" customHeight="1">
      <x:c r="A29" s="9" t="str">
        <x:v>F25</x:v>
      </x:c>
      <x:c r="B29" s="9" t="str">
        <x:v>Private data</x:v>
      </x:c>
      <x:c r="C29" s="9" t="str">
        <x:v>Do not use birth year or personal details from registry aggregators without published reliable biographical sources.</x:v>
      </x:c>
      <x:c r="D29" s="9" t="str">
        <x:v>Current</x:v>
      </x:c>
      <x:c r="E29" s="9" t="str">
        <x:v>P02</x:v>
      </x:c>
      <x:c r="F29" s="9" t="str">
        <x:v>Policy-based exclusion</x:v>
      </x:c>
      <x:c r="G29" s="9" t="str">
        <x:v>Policy</x:v>
      </x:c>
      <x:c r="H29" s="9" t="str">
        <x:v>Policy</x:v>
      </x:c>
      <x:c r="I29" s="9" t="str">
        <x:v>No</x:v>
      </x:c>
      <x:c r="J29" s="9" t="str">
        <x:v>BLP caution. Keep private/public-record details out of draft.</x:v>
      </x:c>
      <x:c r="K29" s="9" t="str">
        <x:v>https://en.wikipedia.org/wiki/Wikipedia:Biographies_of_living_persons</x:v>
      </x:c>
    </x:row>
    <x:row r="30" ht="24" hidden="0" customHeight="1">
      <x:c r="A30" s="9" t="str">
        <x:v>F26</x:v>
      </x:c>
      <x:c r="B30" s="9" t="str">
        <x:v>Notability</x:v>
      </x:c>
      <x:c r="C30" s="9" t="str">
        <x:v>Current source set is not yet strong enough for a low-risk standalone Wikipedia article.</x:v>
      </x:c>
      <x:c r="D30" s="9" t="str">
        <x:v>2026-10-05</x:v>
      </x:c>
      <x:c r="E30" s="9" t="str">
        <x:v>P01, S01-S14</x:v>
      </x:c>
      <x:c r="F30" s="9" t="str">
        <x:v>Assessment</x:v>
      </x:c>
      <x:c r="G30" s="9" t="str">
        <x:v>Policy application</x:v>
      </x:c>
      <x:c r="H30" s="9" t="str">
        <x:v>Mixed</x:v>
      </x:c>
      <x:c r="I30" s="9" t="str">
        <x:v>Controls readiness</x:v>
      </x:c>
      <x:c r="J30" s="9" t="str">
        <x:v>Need multiple independent secondary sources with significant biographical coverage.</x:v>
      </x:c>
      <x:c r="K30" s="9" t="str">
        <x:v>https://en.wikipedia.org/wiki/Wikipedia:Notability_(people)</x:v>
      </x:c>
    </x:row>
  </x:sheetData>
  <x:conditionalFormatting sqref="F5:F200">
    <x:cfRule type="containsText" dxfId="0" priority="1" operator="containsText" text="Verified"/>
    <x:cfRule type="containsText" dxfId="1" priority="2" operator="containsText" text="Unverified"/>
  </x:conditionalFormatting>
  <x:pageMargins left="0.7" right="0.7" top="0.75" bottom="0.75" header="0.3" footer="0.3"/>
  <x:tableParts count="1">
    <x:tablePart xmlns:r="http://schemas.openxmlformats.org/officeDocument/2006/relationships" r:id="R5bebbf023cc14f4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9" hidden="0" customWidth="1"/>
    <x:col min="2" max="2" width="36" hidden="0" customWidth="1"/>
    <x:col min="3" max="3" width="28" hidden="0" customWidth="1"/>
    <x:col min="4" max="4" width="16" hidden="0" customWidth="1"/>
    <x:col min="5" max="5" width="48" hidden="0" customWidth="1"/>
    <x:col min="6" max="6" width="22" hidden="0" customWidth="1"/>
    <x:col min="7" max="7" width="18" hidden="0" customWidth="1"/>
    <x:col min="8" max="8" width="24" hidden="0" customWidth="1"/>
    <x:col min="9" max="9" width="28" hidden="0" customWidth="1"/>
    <x:col min="10" max="10" width="38" hidden="0" customWidth="1"/>
    <x:col min="11" max="11" width="22" hidden="0" customWidth="1"/>
    <x:col min="12" max="12" width="44" hidden="0" customWidth="1"/>
  </x:cols>
  <x:sheetData>
    <x:row r="1" ht="15" hidden="0" customHeight="1">
      <x:c r="A1" s="37" t="str">
        <x:v>Source register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</x:row>
    <x:row r="2" ht="15" hidden="0" customHeight="1">
      <x:c r="A2" s="38" t="str">
        <x:v>As of 2026-10-05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</x:row>
    <x:row r="3" ht="15" hidden="0" customHeight="1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</x:row>
    <x:row r="4" ht="15" hidden="0" customHeight="1">
      <x:c r="A4" s="39" t="str">
        <x:v>ID</x:v>
      </x:c>
      <x:c r="B4" s="39" t="str">
        <x:v>Title</x:v>
      </x:c>
      <x:c r="C4" s="39" t="str">
        <x:v>Publisher / owner</x:v>
      </x:c>
      <x:c r="D4" s="39" t="str">
        <x:v>Date</x:v>
      </x:c>
      <x:c r="E4" s="39" t="str">
        <x:v>URL</x:v>
      </x:c>
      <x:c r="F4" s="39" t="str">
        <x:v>Source class</x:v>
      </x:c>
      <x:c r="G4" s="39" t="str">
        <x:v>Independence</x:v>
      </x:c>
      <x:c r="H4" s="39" t="str">
        <x:v>Coverage depth</x:v>
      </x:c>
      <x:c r="I4" s="39" t="str">
        <x:v>Browser / Playwright status</x:v>
      </x:c>
      <x:c r="J4" s="39" t="str">
        <x:v>Best use</x:v>
      </x:c>
      <x:c r="K4" s="39" t="str">
        <x:v>Notability value</x:v>
      </x:c>
      <x:c r="L4" s="39" t="str">
        <x:v>Notes</x:v>
      </x:c>
    </x:row>
    <x:row r="5" ht="36" hidden="0" customHeight="1">
      <x:c r="A5" s="9" t="str">
        <x:v>S01</x:v>
      </x:c>
      <x:c r="B5" s="9" t="str">
        <x:v>Georgia House Resolution 963</x:v>
      </x:c>
      <x:c r="C5" s="9" t="str">
        <x:v>Georgia General Assembly / LegiScan</x:v>
      </x:c>
      <x:c r="D5" s="9" t="str">
        <x:v>2024-01-31</x:v>
      </x:c>
      <x:c r="E5" s="9" t="str">
        <x:v>https://legiscan.com/GA/bill/HR963/2023</x:v>
      </x:c>
      <x:c r="F5" s="9" t="str">
        <x:v>Official government record</x:v>
      </x:c>
      <x:c r="G5" s="9" t="str">
        <x:v>Primary</x:v>
      </x:c>
      <x:c r="H5" s="9" t="str">
        <x:v>Brief commendation</x:v>
      </x:c>
      <x:c r="I5" s="9" t="str">
        <x:v>Opened official page in Playwright; extracted official PDF locally</x:v>
      </x:c>
      <x:c r="J5" s="9" t="str">
        <x:v>Verify roles, career-length claim at time of resolution, book titles, brands, and commendation status</x:v>
      </x:c>
      <x:c r="K5" s="9" t="str">
        <x:v>Low for notability; useful for factual verification</x:v>
      </x:c>
      <x:c r="L5" s="9" t="str">
        <x:v>Adopted resolution. It is primary evidence and should not be used as the core notability proof.</x:v>
      </x:c>
    </x:row>
    <x:row r="6" ht="24" hidden="0" customHeight="1">
      <x:c r="A6" s="9" t="str">
        <x:v>S02</x:v>
      </x:c>
      <x:c r="B6" s="9" t="str">
        <x:v>20 Battle for Headies Mic Check Grand Prizes</x:v>
      </x:c>
      <x:c r="C6" s="9" t="str">
        <x:v>Business Post Nigeria</x:v>
      </x:c>
      <x:c r="D6" s="9" t="str">
        <x:v>2023-08-23</x:v>
      </x:c>
      <x:c r="E6" s="9" t="str">
        <x:v>https://businesspost.ng/showbiz/20-battle-for-headies-mic-check-grand-prizes/</x:v>
      </x:c>
      <x:c r="F6" s="9" t="str">
        <x:v>News article</x:v>
      </x:c>
      <x:c r="G6" s="9" t="str">
        <x:v>Independent</x:v>
      </x:c>
      <x:c r="H6" s="9" t="str">
        <x:v>Project-focused mention with quote</x:v>
      </x:c>
      <x:c r="I6" s="9" t="str">
        <x:v>Opened in Playwright</x:v>
      </x:c>
      <x:c r="J6" s="9" t="str">
        <x:v>Verify Ms Adeseun Oyeneye as executive producer of Headies Mic Check</x:v>
      </x:c>
      <x:c r="K6" s="9" t="str">
        <x:v>Partial</x:v>
      </x:c>
      <x:c r="L6" s="9" t="str">
        <x:v>Independent but article is about the competition, not a full profile.</x:v>
      </x:c>
    </x:row>
    <x:row r="7" ht="36" hidden="0" customHeight="1">
      <x:c r="A7" s="9" t="str">
        <x:v>S03</x:v>
      </x:c>
      <x:c r="B7" s="9" t="str">
        <x:v>Firm Drags Heritage Bank to Court Over N185m Transaction Dispute</x:v>
      </x:c>
      <x:c r="C7" s="9" t="str">
        <x:v>Nigeria CommunicationsWeek</x:v>
      </x:c>
      <x:c r="D7" s="9" t="str">
        <x:v>2019-04-11</x:v>
      </x:c>
      <x:c r="E7" s="9" t="str">
        <x:v>https://www.nigeriacommunicationsweek.com.ng/smooth-productions-drags-heritage-bank-to-court-over-n185-million-transaction-dispute</x:v>
      </x:c>
      <x:c r="F7" s="9" t="str">
        <x:v>News article</x:v>
      </x:c>
      <x:c r="G7" s="9" t="str">
        <x:v>Independent</x:v>
      </x:c>
      <x:c r="H7" s="9" t="str">
        <x:v>Company-dispute article with named quote</x:v>
      </x:c>
      <x:c r="I7" s="9" t="str">
        <x:v>Opened in Playwright</x:v>
      </x:c>
      <x:c r="J7" s="9" t="str">
        <x:v>Verify name variant Adeseun Kolawole-Oyeneye and Smooth Promotions executive director role</x:v>
      </x:c>
      <x:c r="K7" s="9" t="str">
        <x:v>Partial</x:v>
      </x:c>
      <x:c r="L7" s="9" t="str">
        <x:v>Use carefully. It is legal/business dispute coverage centered on the company, not a biography.</x:v>
      </x:c>
    </x:row>
    <x:row r="8" ht="24" hidden="0" customHeight="1">
      <x:c r="A8" s="9" t="str">
        <x:v>S04</x:v>
      </x:c>
      <x:c r="B8" s="9" t="str">
        <x:v>Eko Star Awardees page</x:v>
      </x:c>
      <x:c r="C8" s="9" t="str">
        <x:v>Nigerian International Film Summit</x:v>
      </x:c>
      <x:c r="D8" s="9" t="str">
        <x:v>n.a.</x:v>
      </x:c>
      <x:c r="E8" s="9" t="str">
        <x:v>https://nifsummit.com/eko-star/awardees</x:v>
      </x:c>
      <x:c r="F8" s="9" t="str">
        <x:v>Organizer awardee listing</x:v>
      </x:c>
      <x:c r="G8" s="9" t="str">
        <x:v>Affiliated / organizer</x:v>
      </x:c>
      <x:c r="H8" s="9" t="str">
        <x:v>Directory entry</x:v>
      </x:c>
      <x:c r="I8" s="9" t="str">
        <x:v>Opened in Playwright</x:v>
      </x:c>
      <x:c r="J8" s="9" t="str">
        <x:v>Verify Eko Star awardee listing and education claims shown on the listing</x:v>
      </x:c>
      <x:c r="K8" s="9" t="str">
        <x:v>Low</x:v>
      </x:c>
      <x:c r="L8" s="9" t="str">
        <x:v>Good for awardee/education lead, but should be backed by independent coverage or institutions.</x:v>
      </x:c>
    </x:row>
    <x:row r="9" ht="24" hidden="0" customHeight="1">
      <x:c r="A9" s="9" t="str">
        <x:v>S05</x:v>
      </x:c>
      <x:c r="B9" s="9" t="str">
        <x:v>The Headies Profile PDF</x:v>
      </x:c>
      <x:c r="C9" s="9" t="str">
        <x:v>The Headies</x:v>
      </x:c>
      <x:c r="D9" s="9" t="str">
        <x:v>2025-08</x:v>
      </x:c>
      <x:c r="E9" s="9" t="str">
        <x:v>https://theheadies.com/wp-content/uploads/2025/08/THE-HEADIES-PROFILE.pdf</x:v>
      </x:c>
      <x:c r="F9" s="9" t="str">
        <x:v>Organization profile PDF</x:v>
      </x:c>
      <x:c r="G9" s="9" t="str">
        <x:v>Affiliated</x:v>
      </x:c>
      <x:c r="H9" s="9" t="str">
        <x:v>Project profile</x:v>
      </x:c>
      <x:c r="I9" s="9" t="str">
        <x:v>Opened in Playwright; text available from PDF source</x:v>
      </x:c>
      <x:c r="J9" s="9" t="str">
        <x:v>Verify co-executive producer label and Headies/Mic Check context</x:v>
      </x:c>
      <x:c r="K9" s="9" t="str">
        <x:v>Low</x:v>
      </x:c>
      <x:c r="L9" s="9" t="str">
        <x:v>Affiliated project document. Useful for role verification, not notability by itself.</x:v>
      </x:c>
    </x:row>
    <x:row r="10" ht="36" hidden="0" customHeight="1">
      <x:c r="A10" s="9" t="str">
        <x:v>S06</x:v>
      </x:c>
      <x:c r="B10" s="9" t="str">
        <x:v>Think Before You Speak paperback listing</x:v>
      </x:c>
      <x:c r="C10" s="9" t="str">
        <x:v>Lulu</x:v>
      </x:c>
      <x:c r="D10" s="9" t="str">
        <x:v>2023-11-30</x:v>
      </x:c>
      <x:c r="E10" s="9" t="str">
        <x:v>https://www.lulu.com/shop/adeseun-oyeneye/think-before-you-speak/paperback/product-rmm8edn.html</x:v>
      </x:c>
      <x:c r="F10" s="9" t="str">
        <x:v>Retail/book listing</x:v>
      </x:c>
      <x:c r="G10" s="9" t="str">
        <x:v>Independent platform but self-publishing context</x:v>
      </x:c>
      <x:c r="H10" s="9" t="str">
        <x:v>Book metadata</x:v>
      </x:c>
      <x:c r="I10" s="9" t="str">
        <x:v>Opened in Playwright</x:v>
      </x:c>
      <x:c r="J10" s="9" t="str">
        <x:v>Verify author, title, publication date, pages, format</x:v>
      </x:c>
      <x:c r="K10" s="9" t="str">
        <x:v>Low</x:v>
      </x:c>
      <x:c r="L10" s="9" t="str">
        <x:v>Retail metadata supports bibliography, not independent biographical notability.</x:v>
      </x:c>
    </x:row>
    <x:row r="11" ht="24" hidden="0" customHeight="1">
      <x:c r="A11" s="9" t="str">
        <x:v>S07</x:v>
      </x:c>
      <x:c r="B11" s="9" t="str">
        <x:v>Think Before You Speak ebook listing</x:v>
      </x:c>
      <x:c r="C11" s="9" t="str">
        <x:v>Rakuten Kobo</x:v>
      </x:c>
      <x:c r="D11" s="9" t="str">
        <x:v>2023-11-24</x:v>
      </x:c>
      <x:c r="E11" s="9" t="str">
        <x:v>https://www.kobo.com/ph/en/ebook/think-before-you-speak-3</x:v>
      </x:c>
      <x:c r="F11" s="9" t="str">
        <x:v>Retail/book listing</x:v>
      </x:c>
      <x:c r="G11" s="9" t="str">
        <x:v>Independent platform but publisher listing</x:v>
      </x:c>
      <x:c r="H11" s="9" t="str">
        <x:v>Book metadata</x:v>
      </x:c>
      <x:c r="I11" s="9" t="str">
        <x:v>Retrieved through web source</x:v>
      </x:c>
      <x:c r="J11" s="9" t="str">
        <x:v>Verify ebook release date, publisher, ISBN/book ID and format</x:v>
      </x:c>
      <x:c r="K11" s="9" t="str">
        <x:v>Low</x:v>
      </x:c>
      <x:c r="L11" s="9" t="str">
        <x:v>Metadata differs from Lulu edition and should be captured as a separate edition.</x:v>
      </x:c>
    </x:row>
    <x:row r="12" ht="24" hidden="0" customHeight="1">
      <x:c r="A12" s="9" t="str">
        <x:v>S08</x:v>
      </x:c>
      <x:c r="B12" s="9" t="str">
        <x:v>Beyond the Mundane retail listing</x:v>
      </x:c>
      <x:c r="C12" s="9" t="str">
        <x:v>Adlibris</x:v>
      </x:c>
      <x:c r="D12" s="9" t="str">
        <x:v>2024-02-05</x:v>
      </x:c>
      <x:c r="E12" s="9" t="str">
        <x:v>https://www.adlibris.com/nb/bok/beyond-the-mundane-9798878248259</x:v>
      </x:c>
      <x:c r="F12" s="9" t="str">
        <x:v>Retail/book listing</x:v>
      </x:c>
      <x:c r="G12" s="9" t="str">
        <x:v>Independent platform</x:v>
      </x:c>
      <x:c r="H12" s="9" t="str">
        <x:v>Book metadata</x:v>
      </x:c>
      <x:c r="I12" s="9" t="str">
        <x:v>Playwright rate-limited; web index/source text available</x:v>
      </x:c>
      <x:c r="J12" s="9" t="str">
        <x:v>Verify author, ISBN 9798878248259, 270 pages, independently published</x:v>
      </x:c>
      <x:c r="K12" s="9" t="str">
        <x:v>Low</x:v>
      </x:c>
      <x:c r="L12" s="9" t="str">
        <x:v>Needs a second live retail or publisher confirmation before a final bibliography.</x:v>
      </x:c>
    </x:row>
    <x:row r="13" ht="36" hidden="0" customHeight="1">
      <x:c r="A13" s="9" t="str">
        <x:v>S09</x:v>
      </x:c>
      <x:c r="B13" s="9" t="str">
        <x:v>At Africast 2025, stakeholders canvass resilient media ecosystem</x:v>
      </x:c>
      <x:c r="C13" s="9" t="str">
        <x:v>The Guardian Nigeria</x:v>
      </x:c>
      <x:c r="D13" s="9" t="str">
        <x:v>2025-10-28</x:v>
      </x:c>
      <x:c r="E13" s="9" t="str">
        <x:v>https://guardian.ng/features/media/at-africast-2025-stakeholders-canvass-resilient-media-ecosystem/</x:v>
      </x:c>
      <x:c r="F13" s="9" t="str">
        <x:v>News article</x:v>
      </x:c>
      <x:c r="G13" s="9" t="str">
        <x:v>Independent</x:v>
      </x:c>
      <x:c r="H13" s="9" t="str">
        <x:v>Event coverage</x:v>
      </x:c>
      <x:c r="I13" s="9" t="str">
        <x:v>Opened in Playwright</x:v>
      </x:c>
      <x:c r="J13" s="9" t="str">
        <x:v>Verify AFRICAST 2025 event context</x:v>
      </x:c>
      <x:c r="K13" s="9" t="str">
        <x:v>Low to partial</x:v>
      </x:c>
      <x:c r="L13" s="9" t="str">
        <x:v>The opened article did not mention Adeseun directly in the captured text; use for event context only unless a direct mention is found.</x:v>
      </x:c>
    </x:row>
    <x:row r="14" ht="24" hidden="0" customHeight="1">
      <x:c r="A14" s="9" t="str">
        <x:v>S10</x:v>
      </x:c>
      <x:c r="B14" s="9" t="str">
        <x:v>NBC to amend broadcast code to address AI and digital media challenges</x:v>
      </x:c>
      <x:c r="C14" s="9" t="str">
        <x:v>Radio Now</x:v>
      </x:c>
      <x:c r="D14" s="9" t="str">
        <x:v>2025-05-09</x:v>
      </x:c>
      <x:c r="E14" s="9" t="str">
        <x:v>https://thisisradionow.com/nbc-to-amend-broadcast-code-to-address-ai-and-digital-media-challenges/</x:v>
      </x:c>
      <x:c r="F14" s="9" t="str">
        <x:v>News article</x:v>
      </x:c>
      <x:c r="G14" s="9" t="str">
        <x:v>Independent</x:v>
      </x:c>
      <x:c r="H14" s="9" t="str">
        <x:v>Event coverage with quote reported in search results</x:v>
      </x:c>
      <x:c r="I14" s="9" t="str">
        <x:v>Blocked by 403 in Playwright</x:v>
      </x:c>
      <x:c r="J14" s="9" t="str">
        <x:v>Potential AFRICAST role/quote confirmation</x:v>
      </x:c>
      <x:c r="K14" s="9" t="str">
        <x:v>Unverified pending access</x:v>
      </x:c>
      <x:c r="L14" s="9" t="str">
        <x:v>Do not rely on this until accessible from a stable copy or archived capture.</x:v>
      </x:c>
    </x:row>
    <x:row r="15" ht="24" hidden="0" customHeight="1">
      <x:c r="A15" s="9" t="str">
        <x:v>S11</x:v>
      </x:c>
      <x:c r="B15" s="9" t="str">
        <x:v>Adeseun Oyeneye LinkedIn profile</x:v>
      </x:c>
      <x:c r="C15" s="9" t="str">
        <x:v>LinkedIn</x:v>
      </x:c>
      <x:c r="D15" s="9" t="str">
        <x:v>n.a.</x:v>
      </x:c>
      <x:c r="E15" s="9" t="str">
        <x:v>https://ng.linkedin.com/in/adeseun-oyeneye-6073aa13</x:v>
      </x:c>
      <x:c r="F15" s="9" t="str">
        <x:v>Professional profile</x:v>
      </x:c>
      <x:c r="G15" s="9" t="str">
        <x:v>Self-published</x:v>
      </x:c>
      <x:c r="H15" s="9" t="str">
        <x:v>Profile</x:v>
      </x:c>
      <x:c r="I15" s="9" t="str">
        <x:v>Search result reviewed; login-limited page</x:v>
      </x:c>
      <x:c r="J15" s="9" t="str">
        <x:v>Lead for roles, education and name normalization</x:v>
      </x:c>
      <x:c r="K15" s="9" t="str">
        <x:v>None</x:v>
      </x:c>
      <x:c r="L15" s="9" t="str">
        <x:v>Useful only as a lead. Avoid using self-published claims for notability.</x:v>
      </x:c>
    </x:row>
    <x:row r="16" ht="24" hidden="0" customHeight="1">
      <x:c r="A16" s="9" t="str">
        <x:v>S12</x:v>
      </x:c>
      <x:c r="B16" s="9" t="str">
        <x:v>ADESEUN OLADUNSI OYENEYE author page</x:v>
      </x:c>
      <x:c r="C16" s="9" t="str">
        <x:v>ThriftBooks</x:v>
      </x:c>
      <x:c r="D16" s="9" t="str">
        <x:v>n.a.</x:v>
      </x:c>
      <x:c r="E16" s="9" t="str">
        <x:v>https://www.thriftbooks.com/a/adeseun-oladunsi-oyeneye/10733558/</x:v>
      </x:c>
      <x:c r="F16" s="9" t="str">
        <x:v>Retail/author listing</x:v>
      </x:c>
      <x:c r="G16" s="9" t="str">
        <x:v>Independent platform</x:v>
      </x:c>
      <x:c r="H16" s="9" t="str">
        <x:v>Directory listing</x:v>
      </x:c>
      <x:c r="I16" s="9" t="str">
        <x:v>Retrieved through web source</x:v>
      </x:c>
      <x:c r="J16" s="9" t="str">
        <x:v>Verify name variant and one book listing</x:v>
      </x:c>
      <x:c r="K16" s="9" t="str">
        <x:v>Low</x:v>
      </x:c>
      <x:c r="L16" s="9" t="str">
        <x:v>Supports variant name and bibliography lead, not notability.</x:v>
      </x:c>
    </x:row>
    <x:row r="17" ht="36" hidden="0" customHeight="1">
      <x:c r="A17" s="9" t="str">
        <x:v>S13</x:v>
      </x:c>
      <x:c r="B17" s="9" t="str">
        <x:v>3Sixty Africa contact page</x:v>
      </x:c>
      <x:c r="C17" s="9" t="str">
        <x:v>3Sixty Africa</x:v>
      </x:c>
      <x:c r="D17" s="9" t="str">
        <x:v>2026 current page</x:v>
      </x:c>
      <x:c r="E17" s="9" t="str">
        <x:v>https://3sixtyafrica.com/contact/</x:v>
      </x:c>
      <x:c r="F17" s="9" t="str">
        <x:v>Corporate site</x:v>
      </x:c>
      <x:c r="G17" s="9" t="str">
        <x:v>Affiliated</x:v>
      </x:c>
      <x:c r="H17" s="9" t="str">
        <x:v>Corporate contact page</x:v>
      </x:c>
      <x:c r="I17" s="9" t="str">
        <x:v>Opened in Playwright</x:v>
      </x:c>
      <x:c r="J17" s="9" t="str">
        <x:v>Current page verifies company contact details only</x:v>
      </x:c>
      <x:c r="K17" s="9" t="str">
        <x:v>None</x:v>
      </x:c>
      <x:c r="L17" s="9" t="str">
        <x:v>Search index still shows older Adeseun/VP text, but current Playwright page did not. Treat as changed/unverified.</x:v>
      </x:c>
    </x:row>
    <x:row r="18" ht="24" hidden="0" customHeight="1">
      <x:c r="A18" s="9" t="str">
        <x:v>S14</x:v>
      </x:c>
      <x:c r="B18" s="9" t="str">
        <x:v>Website repository public claims</x:v>
      </x:c>
      <x:c r="C18" s="9" t="str">
        <x:v>adeseun-website repo</x:v>
      </x:c>
      <x:c r="D18" s="9" t="str">
        <x:v>2026-10-05</x:v>
      </x:c>
      <x:c r="E18" s="9" t="str">
        <x:v>local files in components/sections</x:v>
      </x:c>
      <x:c r="F18" s="9" t="str">
        <x:v>Owned website content</x:v>
      </x:c>
      <x:c r="G18" s="9" t="str">
        <x:v>Self-published</x:v>
      </x:c>
      <x:c r="H18" s="9" t="str">
        <x:v>Claim inventory</x:v>
      </x:c>
      <x:c r="I18" s="9" t="str">
        <x:v>Inspected locally</x:v>
      </x:c>
      <x:c r="J18" s="9" t="str">
        <x:v>Identify claims needing external proof before Wikipedia use</x:v>
      </x:c>
      <x:c r="K18" s="9" t="str">
        <x:v>None</x:v>
      </x:c>
      <x:c r="L18" s="9" t="str">
        <x:v>Use to clean public claims, not as Wikipedia evidence.</x:v>
      </x:c>
    </x:row>
    <x:row r="19" ht="24" hidden="0" customHeight="1">
      <x:c r="A19" s="9" t="str">
        <x:v>P01</x:v>
      </x:c>
      <x:c r="B19" s="9" t="str">
        <x:v>Wikipedia:Notability (people)</x:v>
      </x:c>
      <x:c r="C19" s="9" t="str">
        <x:v>English Wikipedia</x:v>
      </x:c>
      <x:c r="D19" s="9" t="str">
        <x:v>2026-10-05 reviewed</x:v>
      </x:c>
      <x:c r="E19" s="9" t="str">
        <x:v>https://en.wikipedia.org/wiki/Wikipedia:Notability_(people)</x:v>
      </x:c>
      <x:c r="F19" s="9" t="str">
        <x:v>Policy/guideline</x:v>
      </x:c>
      <x:c r="G19" s="9" t="str">
        <x:v>Policy</x:v>
      </x:c>
      <x:c r="H19" s="9" t="str">
        <x:v>Guideline</x:v>
      </x:c>
      <x:c r="I19" s="9" t="str">
        <x:v>Retrieved through web source</x:v>
      </x:c>
      <x:c r="J19" s="9" t="str">
        <x:v>Sets need for significant independent secondary coverage</x:v>
      </x:c>
      <x:c r="K19" s="9" t="str">
        <x:v>Controls readiness</x:v>
      </x:c>
      <x:c r="L19" s="9" t="str">
        <x:v>Primary sources verify facts but do not prove notability.</x:v>
      </x:c>
    </x:row>
    <x:row r="20" ht="24" hidden="0" customHeight="1">
      <x:c r="A20" s="9" t="str">
        <x:v>P02</x:v>
      </x:c>
      <x:c r="B20" s="9" t="str">
        <x:v>Wikipedia:Biographies of living persons</x:v>
      </x:c>
      <x:c r="C20" s="9" t="str">
        <x:v>English Wikipedia</x:v>
      </x:c>
      <x:c r="D20" s="9" t="str">
        <x:v>2026-10-05 reviewed</x:v>
      </x:c>
      <x:c r="E20" s="9" t="str">
        <x:v>https://en.wikipedia.org/wiki/Wikipedia:Biographies_of_living_persons</x:v>
      </x:c>
      <x:c r="F20" s="9" t="str">
        <x:v>Policy</x:v>
      </x:c>
      <x:c r="G20" s="9" t="str">
        <x:v>Policy</x:v>
      </x:c>
      <x:c r="H20" s="9" t="str">
        <x:v>Policy</x:v>
      </x:c>
      <x:c r="I20" s="9" t="str">
        <x:v>Retrieved through web source</x:v>
      </x:c>
      <x:c r="J20" s="9" t="str">
        <x:v>Requires conservative sourcing and careful tone for living people</x:v>
      </x:c>
      <x:c r="K20" s="9" t="str">
        <x:v>Controls draft quality</x:v>
      </x:c>
      <x:c r="L20" s="9" t="str">
        <x:v>Remove or omit poorly sourced contentious or private material.</x:v>
      </x:c>
    </x:row>
    <x:row r="21" ht="24" hidden="0" customHeight="1">
      <x:c r="A21" s="9" t="str">
        <x:v>P03</x:v>
      </x:c>
      <x:c r="B21" s="9" t="str">
        <x:v>Wikipedia:Conflict of interest</x:v>
      </x:c>
      <x:c r="C21" s="9" t="str">
        <x:v>English Wikipedia</x:v>
      </x:c>
      <x:c r="D21" s="9" t="str">
        <x:v>2026-10-05 reviewed</x:v>
      </x:c>
      <x:c r="E21" s="9" t="str">
        <x:v>https://en.wikipedia.org/wiki/Wikipedia:Conflict_of_interest</x:v>
      </x:c>
      <x:c r="F21" s="9" t="str">
        <x:v>Policy/guideline</x:v>
      </x:c>
      <x:c r="G21" s="9" t="str">
        <x:v>Policy</x:v>
      </x:c>
      <x:c r="H21" s="9" t="str">
        <x:v>Guideline</x:v>
      </x:c>
      <x:c r="I21" s="9" t="str">
        <x:v>Retrieved through web source</x:v>
      </x:c>
      <x:c r="J21" s="9" t="str">
        <x:v>Requires disclosure and discourages direct editing when affiliated or paid</x:v>
      </x:c>
      <x:c r="K21" s="9" t="str">
        <x:v>Controls process</x:v>
      </x:c>
      <x:c r="L21" s="9" t="str">
        <x:v>Use AfC and talk-page requests if connected to the subject.</x:v>
      </x:c>
    </x:row>
    <x:row r="22" ht="24" hidden="0" customHeight="1">
      <x:c r="A22" s="9" t="str">
        <x:v>P04</x:v>
      </x:c>
      <x:c r="B22" s="9" t="str">
        <x:v>Wikipedia:Articles for creation</x:v>
      </x:c>
      <x:c r="C22" s="9" t="str">
        <x:v>English Wikipedia</x:v>
      </x:c>
      <x:c r="D22" s="9" t="str">
        <x:v>2026-10-05 reviewed</x:v>
      </x:c>
      <x:c r="E22" s="9" t="str">
        <x:v>https://en.wikipedia.org/wiki/Wikipedia:Articles_for_creation</x:v>
      </x:c>
      <x:c r="F22" s="9" t="str">
        <x:v>Process page</x:v>
      </x:c>
      <x:c r="G22" s="9" t="str">
        <x:v>Policy/process</x:v>
      </x:c>
      <x:c r="H22" s="9" t="str">
        <x:v>Process</x:v>
      </x:c>
      <x:c r="I22" s="9" t="str">
        <x:v>Retrieved through web source</x:v>
      </x:c>
      <x:c r="J22" s="9" t="str">
        <x:v>Recommended path for COI or new editors creating drafts</x:v>
      </x:c>
      <x:c r="K22" s="9" t="str">
        <x:v>Controls process</x:v>
      </x:c>
      <x:c r="L22" s="9" t="str">
        <x:v>Submit draft for review after notability gap is improved.</x:v>
      </x:c>
    </x:row>
  </x:sheetData>
  <x:conditionalFormatting sqref="K5:K100">
    <x:cfRule type="containsText" dxfId="3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18a9a55f45fd446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9" hidden="0" customWidth="1"/>
    <x:col min="2" max="2" width="30" hidden="0" customWidth="1"/>
    <x:col min="3" max="3" width="36" hidden="0" customWidth="1"/>
    <x:col min="4" max="4" width="26" hidden="0" customWidth="1"/>
    <x:col min="5" max="5" width="16" hidden="0" customWidth="1"/>
    <x:col min="6" max="6" width="30" hidden="0" customWidth="1"/>
    <x:col min="7" max="7" width="16" hidden="0" customWidth="1"/>
    <x:col min="8" max="8" width="18" hidden="0" customWidth="1"/>
    <x:col min="9" max="9" width="11" hidden="0" customWidth="1"/>
    <x:col min="10" max="10" width="12" hidden="0" customWidth="1"/>
    <x:col min="11" max="11" width="14" hidden="0" customWidth="1"/>
    <x:col min="12" max="12" width="44" hidden="0" customWidth="1"/>
  </x:cols>
  <x:sheetData>
    <x:row r="1" ht="15" hidden="0" customHeight="1">
      <x:c r="A1" s="37" t="str">
        <x:v>Book bibliography tracker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</x:row>
    <x:row r="2" ht="15" hidden="0" customHeight="1">
      <x:c r="A2" s="38" t="str">
        <x:v>As of 2026-10-05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</x:row>
    <x:row r="3" ht="15" hidden="0" customHeight="1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</x:row>
    <x:row r="4" ht="15" hidden="0" customHeight="1">
      <x:c r="A4" s="39" t="str">
        <x:v>ID</x:v>
      </x:c>
      <x:c r="B4" s="39" t="str">
        <x:v>Title</x:v>
      </x:c>
      <x:c r="C4" s="39" t="str">
        <x:v>Subtitle</x:v>
      </x:c>
      <x:c r="D4" s="39" t="str">
        <x:v>Author name on listing</x:v>
      </x:c>
      <x:c r="E4" s="39" t="str">
        <x:v>Format</x:v>
      </x:c>
      <x:c r="F4" s="39" t="str">
        <x:v>Publisher / platform</x:v>
      </x:c>
      <x:c r="G4" s="39" t="str">
        <x:v>Date</x:v>
      </x:c>
      <x:c r="H4" s="39" t="str">
        <x:v>ISBN / ID</x:v>
      </x:c>
      <x:c r="I4" s="39" t="str">
        <x:v>Pages</x:v>
      </x:c>
      <x:c r="J4" s="39" t="str">
        <x:v>Source ID</x:v>
      </x:c>
      <x:c r="K4" s="39" t="str">
        <x:v>Status</x:v>
      </x:c>
      <x:c r="L4" s="39" t="str">
        <x:v>Notes</x:v>
      </x:c>
    </x:row>
    <x:row r="5" ht="24" hidden="0" customHeight="1">
      <x:c r="A5" s="9" t="str">
        <x:v>B01</x:v>
      </x:c>
      <x:c r="B5" s="9" t="str">
        <x:v>Think Before You Speak</x:v>
      </x:c>
      <x:c r="C5" s="9" t="str">
        <x:v>Embarking on a Path to Thoughtful Communication</x:v>
      </x:c>
      <x:c r="D5" s="9" t="str">
        <x:v>Adeseun Oyeneye</x:v>
      </x:c>
      <x:c r="E5" s="9" t="str">
        <x:v>Paperback</x:v>
      </x:c>
      <x:c r="F5" s="9" t="str">
        <x:v>Lulu</x:v>
      </x:c>
      <x:c r="G5" s="9" t="str">
        <x:v>2023-11-30</x:v>
      </x:c>
      <x:c r="H5" s="24" t="str">
        <x:v>n.a.</x:v>
      </x:c>
      <x:c r="I5" s="9" t="str">
        <x:v>200</x:v>
      </x:c>
      <x:c r="J5" s="9" t="str">
        <x:v>S06</x:v>
      </x:c>
      <x:c r="K5" s="9" t="str">
        <x:v>Verified</x:v>
      </x:c>
      <x:c r="L5" s="9" t="str">
        <x:v>Lulu paperback edition.</x:v>
      </x:c>
    </x:row>
    <x:row r="6" ht="24" hidden="0" customHeight="1">
      <x:c r="A6" s="9" t="str">
        <x:v>B02</x:v>
      </x:c>
      <x:c r="B6" s="9" t="str">
        <x:v>Think Before You Speak</x:v>
      </x:c>
      <x:c r="C6" s="9" t="str">
        <x:v>Embarking on the path to thoughtful communication</x:v>
      </x:c>
      <x:c r="D6" s="9" t="str">
        <x:v>Adeseun Oyeneye</x:v>
      </x:c>
      <x:c r="E6" s="9" t="str">
        <x:v>EPUB3</x:v>
      </x:c>
      <x:c r="F6" s="9" t="str">
        <x:v>Agbalumo Publishing / Kobo</x:v>
      </x:c>
      <x:c r="G6" s="9" t="str">
        <x:v>2023-11-24</x:v>
      </x:c>
      <x:c r="H6" s="24" t="str">
        <x:v>1230007103186</x:v>
      </x:c>
      <x:c r="I6" s="9" t="str">
        <x:v>n.a.</x:v>
      </x:c>
      <x:c r="J6" s="9" t="str">
        <x:v>S07</x:v>
      </x:c>
      <x:c r="K6" s="9" t="str">
        <x:v>Verified</x:v>
      </x:c>
      <x:c r="L6" s="9" t="str">
        <x:v>Kobo ebook edition.</x:v>
      </x:c>
    </x:row>
    <x:row r="7" ht="24" hidden="0" customHeight="1">
      <x:c r="A7" s="9" t="str">
        <x:v>B03</x:v>
      </x:c>
      <x:c r="B7" s="9" t="str">
        <x:v>THINK BEFORE YOU SPEAK</x:v>
      </x:c>
      <x:c r="C7" s="9" t="str">
        <x:v>Deliberate Words: A Journey Towards Mindful Communication</x:v>
      </x:c>
      <x:c r="D7" s="9" t="str">
        <x:v>Adeseun Oladunsi Oyeneye</x:v>
      </x:c>
      <x:c r="E7" s="9" t="str">
        <x:v>Paperback</x:v>
      </x:c>
      <x:c r="F7" s="9" t="str">
        <x:v>ThriftBooks listing</x:v>
      </x:c>
      <x:c r="G7" s="9" t="str">
        <x:v>n.a.</x:v>
      </x:c>
      <x:c r="H7" s="24" t="str">
        <x:v>n.a.</x:v>
      </x:c>
      <x:c r="I7" s="9" t="str">
        <x:v>n.a.</x:v>
      </x:c>
      <x:c r="J7" s="9" t="str">
        <x:v>S12</x:v>
      </x:c>
      <x:c r="K7" s="9" t="str">
        <x:v>Partial</x:v>
      </x:c>
      <x:c r="L7" s="9" t="str">
        <x:v>Variant-title retail listing. Needs detail page or ISBN source.</x:v>
      </x:c>
    </x:row>
    <x:row r="8" ht="24" hidden="0" customHeight="1">
      <x:c r="A8" s="9" t="str">
        <x:v>B04</x:v>
      </x:c>
      <x:c r="B8" s="9" t="str">
        <x:v>Beyond the Mundane</x:v>
      </x:c>
      <x:c r="C8" s="9" t="str">
        <x:v>Essentials of a meaningful life</x:v>
      </x:c>
      <x:c r="D8" s="9" t="str">
        <x:v>Adeseun Oyeneye</x:v>
      </x:c>
      <x:c r="E8" s="9" t="str">
        <x:v>Paperback</x:v>
      </x:c>
      <x:c r="F8" s="9" t="str">
        <x:v>Independently Published / Adlibris</x:v>
      </x:c>
      <x:c r="G8" s="9" t="str">
        <x:v>2024-02-05</x:v>
      </x:c>
      <x:c r="H8" s="24" t="str">
        <x:v>9798878248259</x:v>
      </x:c>
      <x:c r="I8" s="9" t="str">
        <x:v>270</x:v>
      </x:c>
      <x:c r="J8" s="9" t="str">
        <x:v>S08</x:v>
      </x:c>
      <x:c r="K8" s="9" t="str">
        <x:v>Partial</x:v>
      </x:c>
      <x:c r="L8" s="9" t="str">
        <x:v>Playwright rate-limited. Confirm through second live source before final draft.</x:v>
      </x:c>
    </x:row>
    <x:row r="9" ht="24" hidden="0" customHeight="1">
      <x:c r="A9" s="9" t="str">
        <x:v>B05</x:v>
      </x:c>
      <x:c r="B9" s="9" t="str">
        <x:v>Positive Negative</x:v>
      </x:c>
      <x:c r="C9" s="9" t="str">
        <x:v>n.a.</x:v>
      </x:c>
      <x:c r="D9" s="9" t="str">
        <x:v>Adeseun Oyeneye</x:v>
      </x:c>
      <x:c r="E9" s="9" t="str">
        <x:v>n.a.</x:v>
      </x:c>
      <x:c r="F9" s="9" t="str">
        <x:v>n.a.</x:v>
      </x:c>
      <x:c r="G9" s="9" t="str">
        <x:v>n.a.</x:v>
      </x:c>
      <x:c r="H9" s="24" t="str">
        <x:v>n.a.</x:v>
      </x:c>
      <x:c r="I9" s="9" t="str">
        <x:v>n.a.</x:v>
      </x:c>
      <x:c r="J9" s="9" t="str">
        <x:v>S01</x:v>
      </x:c>
      <x:c r="K9" s="9" t="str">
        <x:v>Title only</x:v>
      </x:c>
      <x:c r="L9" s="9" t="str">
        <x:v>Named in HR963 but no independent publication metadata found yet.</x:v>
      </x:c>
    </x:row>
    <x:row r="10" ht="24" hidden="0" customHeight="1">
      <x:c r="A10" s="9" t="str">
        <x:v>B06</x:v>
      </x:c>
      <x:c r="B10" s="9" t="str">
        <x:v>The Future Is Now</x:v>
      </x:c>
      <x:c r="C10" s="9" t="str">
        <x:v>n.a.</x:v>
      </x:c>
      <x:c r="D10" s="9" t="str">
        <x:v>Adeseun Oyeneye</x:v>
      </x:c>
      <x:c r="E10" s="9" t="str">
        <x:v>Paperback</x:v>
      </x:c>
      <x:c r="F10" s="9" t="str">
        <x:v>Independently Published / retail leads</x:v>
      </x:c>
      <x:c r="G10" s="9" t="str">
        <x:v>2026</x:v>
      </x:c>
      <x:c r="H10" s="24" t="str">
        <x:v>9798194433728</x:v>
      </x:c>
      <x:c r="I10" s="9" t="str">
        <x:v>109-110</x:v>
      </x:c>
      <x:c r="J10" s="9" t="str">
        <x:v>S14</x:v>
      </x:c>
      <x:c r="K10" s="9" t="str">
        <x:v>Lead only</x:v>
      </x:c>
      <x:c r="L10" s="9" t="str">
        <x:v>Search leads found. Needs live source verification before final bibliography.</x:v>
      </x:c>
    </x:row>
    <x:row r="11" ht="24" hidden="0" customHeight="1">
      <x:c r="A11" s="9" t="str">
        <x:v>B07</x:v>
      </x:c>
      <x:c r="B11" s="9" t="str">
        <x:v>Black is Beautiful</x:v>
      </x:c>
      <x:c r="C11" s="9" t="str">
        <x:v>n.a.</x:v>
      </x:c>
      <x:c r="D11" s="9" t="str">
        <x:v>Adeseun Oyeneye</x:v>
      </x:c>
      <x:c r="E11" s="9" t="str">
        <x:v>n.a.</x:v>
      </x:c>
      <x:c r="F11" s="9" t="str">
        <x:v>n.a.</x:v>
      </x:c>
      <x:c r="G11" s="9" t="str">
        <x:v>n.a.</x:v>
      </x:c>
      <x:c r="H11" s="24" t="str">
        <x:v>n.a.</x:v>
      </x:c>
      <x:c r="I11" s="9" t="str">
        <x:v>n.a.</x:v>
      </x:c>
      <x:c r="J11" s="9" t="str">
        <x:v>S01</x:v>
      </x:c>
      <x:c r="K11" s="9" t="str">
        <x:v>Title only</x:v>
      </x:c>
      <x:c r="L11" s="9" t="str">
        <x:v>Named in HR963 but no independent publication metadata found yet.</x:v>
      </x:c>
    </x:row>
  </x:sheetData>
  <x:pageMargins left="0.7" right="0.7" top="0.75" bottom="0.75" header="0.3" footer="0.3"/>
  <x:tableParts count="1">
    <x:tablePart xmlns:r="http://schemas.openxmlformats.org/officeDocument/2006/relationships" r:id="Rb03228192637481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9" hidden="0" customWidth="1"/>
    <x:col min="2" max="2" width="20" hidden="0" customWidth="1"/>
    <x:col min="3" max="3" width="42" hidden="0" customWidth="1"/>
    <x:col min="4" max="4" width="36" hidden="0" customWidth="1"/>
    <x:col min="5" max="5" width="42" hidden="0" customWidth="1"/>
    <x:col min="6" max="6" width="48" hidden="0" customWidth="1"/>
  </x:cols>
  <x:sheetData>
    <x:row r="1" ht="15" hidden="0" customHeight="1">
      <x:c r="A1" s="37" t="str">
        <x:v>Site claim conflicts</x:v>
      </x:c>
      <x:c r="B1" s="28"/>
      <x:c r="C1" s="28"/>
      <x:c r="D1" s="28"/>
      <x:c r="E1" s="28"/>
      <x:c r="F1" s="28"/>
    </x:row>
    <x:row r="2" ht="15" hidden="0" customHeight="1">
      <x:c r="A2" s="38" t="str">
        <x:v>As of 2026-10-05</x:v>
      </x:c>
      <x:c r="B2" s="28"/>
      <x:c r="C2" s="28"/>
      <x:c r="D2" s="28"/>
      <x:c r="E2" s="28"/>
      <x:c r="F2" s="28"/>
    </x:row>
    <x:row r="3" ht="15" hidden="0" customHeight="1">
      <x:c r="A3" s="28"/>
      <x:c r="B3" s="28"/>
      <x:c r="C3" s="28"/>
      <x:c r="D3" s="28"/>
      <x:c r="E3" s="28"/>
      <x:c r="F3" s="28"/>
    </x:row>
    <x:row r="4" ht="15" hidden="0" customHeight="1">
      <x:c r="A4" s="39" t="str">
        <x:v>ID</x:v>
      </x:c>
      <x:c r="B4" s="39" t="str">
        <x:v>Area</x:v>
      </x:c>
      <x:c r="C4" s="39" t="str">
        <x:v>Local source</x:v>
      </x:c>
      <x:c r="D4" s="39" t="str">
        <x:v>Current site claim</x:v>
      </x:c>
      <x:c r="E4" s="39" t="str">
        <x:v>External evidence status</x:v>
      </x:c>
      <x:c r="F4" s="39" t="str">
        <x:v>Recommended treatment</x:v>
      </x:c>
    </x:row>
    <x:row r="5" ht="24" hidden="0" customHeight="1">
      <x:c r="A5" s="9" t="str">
        <x:v>C01</x:v>
      </x:c>
      <x:c r="B5" s="9" t="str">
        <x:v>Career duration</x:v>
      </x:c>
      <x:c r="C5" s="9" t="str">
        <x:v>components/sections/executive-profile/executive-profile-content.ts</x:v>
      </x:c>
      <x:c r="D5" s="9" t="str">
        <x:v>Claims 26 years</x:v>
      </x:c>
      <x:c r="E5" s="9" t="str">
        <x:v>S01 says 23-year career as of 2024-01-31.</x:v>
      </x:c>
      <x:c r="F5" s="9" t="str">
        <x:v>Do not state 26 years on Wikipedia. For site copy, either source the 26-year update or phrase as 'more than two decades'.</x:v>
      </x:c>
    </x:row>
    <x:row r="6" ht="24" hidden="0" customHeight="1">
      <x:c r="A6" s="9" t="str">
        <x:v>C02</x:v>
      </x:c>
      <x:c r="B6" s="9" t="str">
        <x:v>Role wording</x:v>
      </x:c>
      <x:c r="C6" s="9" t="str">
        <x:v>components/sections/executive-profile/executive-profile-content.ts</x:v>
      </x:c>
      <x:c r="D6" s="9" t="str">
        <x:v>Vice President, 360Africa Media Group</x:v>
      </x:c>
      <x:c r="E6" s="9" t="str">
        <x:v>S01 says president of ThreeSixty Africa Media; current 3Sixty contact page did not show VP text.</x:v>
      </x:c>
      <x:c r="F6" s="9" t="str">
        <x:v>Find a current organization bio or press release before using VP wording externally.</x:v>
      </x:c>
    </x:row>
    <x:row r="7" ht="24" hidden="0" customHeight="1">
      <x:c r="A7" s="9" t="str">
        <x:v>C03</x:v>
      </x:c>
      <x:c r="B7" s="9" t="str">
        <x:v>Book count</x:v>
      </x:c>
      <x:c r="C7" s="9" t="str">
        <x:v>components/sections/impact/impact-content.ts and home-content.ts</x:v>
      </x:c>
      <x:c r="D7" s="9" t="str">
        <x:v>Fourteen books</x:v>
      </x:c>
      <x:c r="E7" s="9" t="str">
        <x:v>Verified external records in this dossier support a smaller set plus title-only claims.</x:v>
      </x:c>
      <x:c r="F7" s="9" t="str">
        <x:v>For Wikipedia, list only externally verified published books. For site copy, add source notes or avoid precise count.</x:v>
      </x:c>
    </x:row>
    <x:row r="8" ht="24" hidden="0" customHeight="1">
      <x:c r="A8" s="9" t="str">
        <x:v>C04</x:v>
      </x:c>
      <x:c r="B8" s="9" t="str">
        <x:v>Book count</x:v>
      </x:c>
      <x:c r="C8" s="9" t="str">
        <x:v>components/sections/library/library-content.ts</x:v>
      </x:c>
      <x:c r="D8" s="9" t="str">
        <x:v>Sixteen published books</x:v>
      </x:c>
      <x:c r="E8" s="9" t="str">
        <x:v>External source set does not yet support 16 published books.</x:v>
      </x:c>
      <x:c r="F8" s="9" t="str">
        <x:v>Create a separate publication ledger with ISBN/source for each title before any Wikipedia bibliography.</x:v>
      </x:c>
    </x:row>
    <x:row r="9" ht="24" hidden="0" customHeight="1">
      <x:c r="A9" s="9" t="str">
        <x:v>C05</x:v>
      </x:c>
      <x:c r="B9" s="9" t="str">
        <x:v>Olympics wording</x:v>
      </x:c>
      <x:c r="C9" s="9" t="str">
        <x:v>components/sections/study/study-content.ts</x:v>
      </x:c>
      <x:c r="D9" s="9" t="str">
        <x:v>Official NOC marketing agency; producer, Nigeria House Paris 2024 Olympics</x:v>
      </x:c>
      <x:c r="E9" s="9" t="str">
        <x:v>S01 only says she worked with 'the Olympics'; no NOC/Nigeria House source captured.</x:v>
      </x:c>
      <x:c r="F9" s="9" t="str">
        <x:v>Treat as unverified until project documents are located.</x:v>
      </x:c>
    </x:row>
    <x:row r="10" ht="24" hidden="0" customHeight="1">
      <x:c r="A10" s="9" t="str">
        <x:v>C06</x:v>
      </x:c>
      <x:c r="B10" s="9" t="str">
        <x:v>AFRICAST role wording</x:v>
      </x:c>
      <x:c r="C10" s="9" t="str">
        <x:v>components/sections/study/study-content.ts</x:v>
      </x:c>
      <x:c r="D10" s="9" t="str">
        <x:v>Project Coordinator and Marketing Director</x:v>
      </x:c>
      <x:c r="E10" s="9" t="str">
        <x:v>Guardian verifies event context only; Radio Now was inaccessible in Playwright.</x:v>
      </x:c>
      <x:c r="F10" s="9" t="str">
        <x:v>Locate an accessible NBC/AFRICAST program, press release, or media article naming her.</x:v>
      </x:c>
    </x:row>
    <x:row r="11" ht="24" hidden="0" customHeight="1">
      <x:c r="A11" s="9" t="str">
        <x:v>C07</x:v>
      </x:c>
      <x:c r="B11" s="9" t="str">
        <x:v>Headies duration</x:v>
      </x:c>
      <x:c r="C11" s="9" t="str">
        <x:v>components/sections/study/study-content.ts</x:v>
      </x:c>
      <x:c r="D11" s="9" t="str">
        <x:v>Co-Executive Producer, 16 years</x:v>
      </x:c>
      <x:c r="E11" s="9" t="str">
        <x:v>S05 labels co-executive producer; duration needs a separate source.</x:v>
      </x:c>
      <x:c r="F11" s="9" t="str">
        <x:v>Use role only unless a source states duration.</x:v>
      </x:c>
    </x:row>
    <x:row r="12" ht="24" hidden="0" customHeight="1">
      <x:c r="A12" s="9" t="str">
        <x:v>C08</x:v>
      </x:c>
      <x:c r="B12" s="9" t="str">
        <x:v>Education/training</x:v>
      </x:c>
      <x:c r="C12" s="9" t="str">
        <x:v>components/sections/study/study-content.ts</x:v>
      </x:c>
      <x:c r="D12" s="9" t="str">
        <x:v>Oxford Home Study, IBMI Berlin, Oxford HS certificate</x:v>
      </x:c>
      <x:c r="E12" s="9" t="str">
        <x:v>S04 supports OAU and New York School of Interior Design only.</x:v>
      </x:c>
      <x:c r="F12" s="9" t="str">
        <x:v>Do not include unverified credentials in a BLP draft.</x:v>
      </x:c>
    </x:row>
  </x:sheetData>
  <x:pageMargins left="0.7" right="0.7" top="0.75" bottom="0.75" header="0.3" footer="0.3"/>
  <x:tableParts count="1">
    <x:tablePart xmlns:r="http://schemas.openxmlformats.org/officeDocument/2006/relationships" r:id="R77b3d02a8de24811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9" hidden="0" customWidth="1"/>
    <x:col min="2" max="2" width="24" hidden="0" customWidth="1"/>
    <x:col min="3" max="3" width="42" hidden="0" customWidth="1"/>
    <x:col min="4" max="4" width="42" hidden="0" customWidth="1"/>
    <x:col min="5" max="5" width="48" hidden="0" customWidth="1"/>
    <x:col min="6" max="6" width="18" hidden="0" customWidth="1"/>
    <x:col min="7" max="7" width="12" hidden="0" customWidth="1"/>
    <x:col min="8" max="8" width="12" hidden="0" customWidth="1"/>
  </x:cols>
  <x:sheetData>
    <x:row r="1" ht="15" hidden="0" customHeight="1">
      <x:c r="A1" s="37" t="str">
        <x:v>Gaps and actions</x:v>
      </x:c>
      <x:c r="B1" s="28"/>
      <x:c r="C1" s="28"/>
      <x:c r="D1" s="28"/>
      <x:c r="E1" s="28"/>
      <x:c r="F1" s="28"/>
      <x:c r="G1" s="28"/>
      <x:c r="H1" s="28"/>
    </x:row>
    <x:row r="2" ht="15" hidden="0" customHeight="1">
      <x:c r="A2" s="38" t="str">
        <x:v>As of 2026-10-05</x:v>
      </x:c>
      <x:c r="B2" s="28"/>
      <x:c r="C2" s="28"/>
      <x:c r="D2" s="28"/>
      <x:c r="E2" s="28"/>
      <x:c r="F2" s="28"/>
      <x:c r="G2" s="28"/>
      <x:c r="H2" s="28"/>
    </x:row>
    <x:row r="3" ht="15" hidden="0" customHeight="1">
      <x:c r="A3" s="28"/>
      <x:c r="B3" s="28"/>
      <x:c r="C3" s="28"/>
      <x:c r="D3" s="28"/>
      <x:c r="E3" s="28"/>
      <x:c r="F3" s="28"/>
      <x:c r="G3" s="28"/>
      <x:c r="H3" s="28"/>
    </x:row>
    <x:row r="4" ht="15" hidden="0" customHeight="1">
      <x:c r="A4" s="39" t="str">
        <x:v>ID</x:v>
      </x:c>
      <x:c r="B4" s="39" t="str">
        <x:v>Gap</x:v>
      </x:c>
      <x:c r="C4" s="39" t="str">
        <x:v>Why it matters</x:v>
      </x:c>
      <x:c r="D4" s="39" t="str">
        <x:v>Evidence now</x:v>
      </x:c>
      <x:c r="E4" s="39" t="str">
        <x:v>Required next evidence</x:v>
      </x:c>
      <x:c r="F4" s="39" t="str">
        <x:v>Owner</x:v>
      </x:c>
      <x:c r="G4" s="39" t="str">
        <x:v>Priority</x:v>
      </x:c>
      <x:c r="H4" s="39" t="str">
        <x:v>Status</x:v>
      </x:c>
    </x:row>
    <x:row r="5" ht="24" hidden="0" customHeight="1">
      <x:c r="A5" s="9" t="str">
        <x:v>G01</x:v>
      </x:c>
      <x:c r="B5" s="9" t="str">
        <x:v>Notability gap</x:v>
      </x:c>
      <x:c r="C5" s="9" t="str">
        <x:v>Wikipedia needs significant coverage in multiple independent secondary sources.</x:v>
      </x:c>
      <x:c r="D5" s="9" t="str">
        <x:v>Most sources are primary, affiliated, retail metadata, or project mentions.</x:v>
      </x:c>
      <x:c r="E5" s="9" t="str">
        <x:v>Find 2-3 independent profiles/interviews/features that cover her career in depth.</x:v>
      </x:c>
      <x:c r="F5" s="9" t="str">
        <x:v>Research</x:v>
      </x:c>
      <x:c r="G5" s="9" t="str">
        <x:v>High</x:v>
      </x:c>
      <x:c r="H5" s="9" t="str">
        <x:v>Open</x:v>
      </x:c>
    </x:row>
    <x:row r="6" ht="24" hidden="0" customHeight="1">
      <x:c r="A6" s="9" t="str">
        <x:v>G02</x:v>
      </x:c>
      <x:c r="B6" s="9" t="str">
        <x:v>Awards details</x:v>
      </x:c>
      <x:c r="C6" s="9" t="str">
        <x:v>Awards need exact name, year, organizer, criteria, and ideally independent coverage.</x:v>
      </x:c>
      <x:c r="D6" s="9" t="str">
        <x:v>NIFS lists her as awardee, HR963 confirms commendation.</x:v>
      </x:c>
      <x:c r="E6" s="9" t="str">
        <x:v>Collect event program, press release, media recap, photos/citation, and award criteria.</x:v>
      </x:c>
      <x:c r="F6" s="9" t="str">
        <x:v>Research</x:v>
      </x:c>
      <x:c r="G6" s="9" t="str">
        <x:v>High</x:v>
      </x:c>
      <x:c r="H6" s="9" t="str">
        <x:v>Open</x:v>
      </x:c>
    </x:row>
    <x:row r="7" ht="24" hidden="0" customHeight="1">
      <x:c r="A7" s="9" t="str">
        <x:v>G03</x:v>
      </x:c>
      <x:c r="B7" s="9" t="str">
        <x:v>Book bibliography</x:v>
      </x:c>
      <x:c r="C7" s="9" t="str">
        <x:v>Wikipedia bibliography should avoid title-only/self-claimed books.</x:v>
      </x:c>
      <x:c r="D7" s="9" t="str">
        <x:v>Two Think Before You Speak editions verified; Beyond partial; HR963 title-only list.</x:v>
      </x:c>
      <x:c r="E7" s="9" t="str">
        <x:v>Create ISBN-led list for every book: title, subtitle, author name, publisher, date, pages, format, ISBN.</x:v>
      </x:c>
      <x:c r="F7" s="9" t="str">
        <x:v>Research</x:v>
      </x:c>
      <x:c r="G7" s="9" t="str">
        <x:v>High</x:v>
      </x:c>
      <x:c r="H7" s="9" t="str">
        <x:v>Open</x:v>
      </x:c>
    </x:row>
    <x:row r="8" ht="24" hidden="0" customHeight="1">
      <x:c r="A8" s="9" t="str">
        <x:v>G04</x:v>
      </x:c>
      <x:c r="B8" s="9" t="str">
        <x:v>Career chronology</x:v>
      </x:c>
      <x:c r="C8" s="9" t="str">
        <x:v>A biography needs dates and role transitions, not a list of claims.</x:v>
      </x:c>
      <x:c r="D8" s="9" t="str">
        <x:v>HR963 provides roles without start/end dates.</x:v>
      </x:c>
      <x:c r="E8" s="9" t="str">
        <x:v>Find company profiles, archived team pages, press releases, program credits, and institutional records.</x:v>
      </x:c>
      <x:c r="F8" s="9" t="str">
        <x:v>Research</x:v>
      </x:c>
      <x:c r="G8" s="9" t="str">
        <x:v>High</x:v>
      </x:c>
      <x:c r="H8" s="9" t="str">
        <x:v>Open</x:v>
      </x:c>
    </x:row>
    <x:row r="9" ht="24" hidden="0" customHeight="1">
      <x:c r="A9" s="9" t="str">
        <x:v>G05</x:v>
      </x:c>
      <x:c r="B9" s="9" t="str">
        <x:v>AFRICAST evidence</x:v>
      </x:c>
      <x:c r="C9" s="9" t="str">
        <x:v>AFRICAST claims are prominent on the site but not yet directly confirmed in accessible source text.</x:v>
      </x:c>
      <x:c r="D9" s="9" t="str">
        <x:v>Guardian event article does not name her; Radio Now blocked.</x:v>
      </x:c>
      <x:c r="E9" s="9" t="str">
        <x:v>Find NBC program, AFRICAST site, press kit, archived Radio Now page, or newspaper PDF naming her.</x:v>
      </x:c>
      <x:c r="F9" s="9" t="str">
        <x:v>Research</x:v>
      </x:c>
      <x:c r="G9" s="9" t="str">
        <x:v>Medium</x:v>
      </x:c>
      <x:c r="H9" s="9" t="str">
        <x:v>Open</x:v>
      </x:c>
    </x:row>
    <x:row r="10" ht="36" hidden="0" customHeight="1">
      <x:c r="A10" s="9" t="str">
        <x:v>G06</x:v>
      </x:c>
      <x:c r="B10" s="9" t="str">
        <x:v>Olympics/Nigeria House evidence</x:v>
      </x:c>
      <x:c r="C10" s="9" t="str">
        <x:v>Olympic claims are high-profile and will be challenged if weakly sourced.</x:v>
      </x:c>
      <x:c r="D10" s="9" t="str">
        <x:v>HR963 mentions Olympics generally only.</x:v>
      </x:c>
      <x:c r="E10" s="9" t="str">
        <x:v>Find Nigeria House Paris 2024 program, NOC material, client/project contract public reference, or independent coverage.</x:v>
      </x:c>
      <x:c r="F10" s="9" t="str">
        <x:v>Research</x:v>
      </x:c>
      <x:c r="G10" s="9" t="str">
        <x:v>High</x:v>
      </x:c>
      <x:c r="H10" s="9" t="str">
        <x:v>Open</x:v>
      </x:c>
    </x:row>
    <x:row r="11" ht="24" hidden="0" customHeight="1">
      <x:c r="A11" s="9" t="str">
        <x:v>G07</x:v>
      </x:c>
      <x:c r="B11" s="9" t="str">
        <x:v>COI process</x:v>
      </x:c>
      <x:c r="C11" s="9" t="str">
        <x:v>If the team is connected to the subject, direct article creation can trigger scrutiny.</x:v>
      </x:c>
      <x:c r="D11" s="9" t="str">
        <x:v>User is building from the subject's site/repo context.</x:v>
      </x:c>
      <x:c r="E11" s="9" t="str">
        <x:v>Draft neutrally, disclose COI, submit through AfC, and avoid direct mainspace publishing.</x:v>
      </x:c>
      <x:c r="F11" s="9" t="str">
        <x:v>Wikipedia process</x:v>
      </x:c>
      <x:c r="G11" s="9" t="str">
        <x:v>High</x:v>
      </x:c>
      <x:c r="H11" s="9" t="str">
        <x:v>Open</x:v>
      </x:c>
    </x:row>
    <x:row r="12" ht="24" hidden="0" customHeight="1">
      <x:c r="A12" s="9" t="str">
        <x:v>G08</x:v>
      </x:c>
      <x:c r="B12" s="9" t="str">
        <x:v>BLP privacy</x:v>
      </x:c>
      <x:c r="C12" s="9" t="str">
        <x:v>Living-person articles must avoid poorly sourced personal details.</x:v>
      </x:c>
      <x:c r="D12" s="9" t="str">
        <x:v>Registry-style personal details appeared in search leads.</x:v>
      </x:c>
      <x:c r="E12" s="9" t="str">
        <x:v>Exclude birth date/year, family, private addresses, and legal details unless strongly sourced and encyclopedic.</x:v>
      </x:c>
      <x:c r="F12" s="9" t="str">
        <x:v>Editorial</x:v>
      </x:c>
      <x:c r="G12" s="9" t="str">
        <x:v>High</x:v>
      </x:c>
      <x:c r="H12" s="9" t="str">
        <x:v>Open</x:v>
      </x:c>
    </x:row>
  </x:sheetData>
  <x:conditionalFormatting sqref="G5:G100">
    <x:cfRule type="containsText" dxfId="2" priority="1" operator="containsText" text="High"/>
  </x:conditionalFormatting>
  <x:pageMargins left="0.7" right="0.7" top="0.75" bottom="0.75" header="0.3" footer="0.3"/>
  <x:tableParts count="1">
    <x:tablePart xmlns:r="http://schemas.openxmlformats.org/officeDocument/2006/relationships" r:id="R376ed221f5ca4b51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0" hidden="0" customWidth="1"/>
    <x:col min="2" max="2" width="28" hidden="0" customWidth="1"/>
    <x:col min="3" max="3" width="48" hidden="0" customWidth="1"/>
    <x:col min="4" max="4" width="42" hidden="0" customWidth="1"/>
    <x:col min="5" max="5" width="42" hidden="0" customWidth="1"/>
    <x:col min="6" max="6" width="20" hidden="0" customWidth="1"/>
  </x:cols>
  <x:sheetData>
    <x:row r="1" ht="15" hidden="0" customHeight="1">
      <x:c r="A1" s="37" t="str">
        <x:v>Wikipedia plan</x:v>
      </x:c>
      <x:c r="B1" s="28"/>
      <x:c r="C1" s="28"/>
      <x:c r="D1" s="28"/>
      <x:c r="E1" s="28"/>
      <x:c r="F1" s="28"/>
    </x:row>
    <x:row r="2" ht="15" hidden="0" customHeight="1">
      <x:c r="A2" s="38" t="str">
        <x:v>As of 2026-10-05</x:v>
      </x:c>
      <x:c r="B2" s="28"/>
      <x:c r="C2" s="28"/>
      <x:c r="D2" s="28"/>
      <x:c r="E2" s="28"/>
      <x:c r="F2" s="28"/>
    </x:row>
    <x:row r="3" ht="15" hidden="0" customHeight="1">
      <x:c r="A3" s="28"/>
      <x:c r="B3" s="28"/>
      <x:c r="C3" s="28"/>
      <x:c r="D3" s="28"/>
      <x:c r="E3" s="28"/>
      <x:c r="F3" s="28"/>
    </x:row>
    <x:row r="4" ht="15" hidden="0" customHeight="1">
      <x:c r="A4" s="39" t="str">
        <x:v>Stage</x:v>
      </x:c>
      <x:c r="B4" s="39" t="str">
        <x:v>Objective</x:v>
      </x:c>
      <x:c r="C4" s="39" t="str">
        <x:v>Actions</x:v>
      </x:c>
      <x:c r="D4" s="39" t="str">
        <x:v>Exit criteria</x:v>
      </x:c>
      <x:c r="E4" s="39" t="str">
        <x:v>Risk</x:v>
      </x:c>
      <x:c r="F4" s="39" t="str">
        <x:v>Policy/source IDs</x:v>
      </x:c>
    </x:row>
    <x:row r="5" ht="24" hidden="0" customHeight="1">
      <x:c r="A5" s="9" t="str">
        <x:v>1</x:v>
      </x:c>
      <x:c r="B5" s="9" t="str">
        <x:v>Build evidence base</x:v>
      </x:c>
      <x:c r="C5" s="9" t="str">
        <x:v>Complete this workbook's missing-source rows. Prioritize independent features and institutional confirmations.</x:v>
      </x:c>
      <x:c r="D5" s="9" t="str">
        <x:v>At least 2-3 significant independent secondary sources plus a complete source register.</x:v>
      </x:c>
      <x:c r="E5" s="9" t="str">
        <x:v>Article may be declined if evidence remains mostly primary.</x:v>
      </x:c>
      <x:c r="F5" s="9" t="str">
        <x:v>P01, P02</x:v>
      </x:c>
    </x:row>
    <x:row r="6" ht="36" hidden="0" customHeight="1">
      <x:c r="A6" s="9" t="str">
        <x:v>2</x:v>
      </x:c>
      <x:c r="B6" s="9" t="str">
        <x:v>Clean fact set</x:v>
      </x:c>
      <x:c r="C6" s="9" t="str">
        <x:v>Remove or quarantine unsourced site claims: 26 years, 14/16 books, Olympics/Nigeria House, exact AFRICAST titles, credentials.</x:v>
      </x:c>
      <x:c r="D6" s="9" t="str">
        <x:v>Every proposed article sentence maps to a reliable source ID.</x:v>
      </x:c>
      <x:c r="E6" s="9" t="str">
        <x:v>Promotional or inflated claims increase deletion risk.</x:v>
      </x:c>
      <x:c r="F6" s="9" t="str">
        <x:v>P02, S14</x:v>
      </x:c>
    </x:row>
    <x:row r="7" ht="24" hidden="0" customHeight="1">
      <x:c r="A7" s="9" t="str">
        <x:v>3</x:v>
      </x:c>
      <x:c r="B7" s="9" t="str">
        <x:v>Draft neutral article</x:v>
      </x:c>
      <x:c r="C7" s="9" t="str">
        <x:v>Write a short BLP draft with sections: lead, career, works, awards, references. Keep wording factual and conservative.</x:v>
      </x:c>
      <x:c r="D7" s="9" t="str">
        <x:v>Draft has no unsourced claims, no private data, and balanced weight.</x:v>
      </x:c>
      <x:c r="E7" s="9" t="str">
        <x:v>A long resume-like page is less likely to pass review.</x:v>
      </x:c>
      <x:c r="F7" s="9" t="str">
        <x:v>P02</x:v>
      </x:c>
    </x:row>
    <x:row r="8" ht="24" hidden="0" customHeight="1">
      <x:c r="A8" s="9" t="str">
        <x:v>4</x:v>
      </x:c>
      <x:c r="B8" s="9" t="str">
        <x:v>COI-safe submission</x:v>
      </x:c>
      <x:c r="C8" s="9" t="str">
        <x:v>If affiliated, disclose the connection and submit through Articles for Creation.</x:v>
      </x:c>
      <x:c r="D8" s="9" t="str">
        <x:v>AfC submission ready, with source register and talk-page disclosure.</x:v>
      </x:c>
      <x:c r="E8" s="9" t="str">
        <x:v>Direct publishing can trigger COI scrutiny or deletion.</x:v>
      </x:c>
      <x:c r="F8" s="9" t="str">
        <x:v>P03, P04</x:v>
      </x:c>
    </x:row>
    <x:row r="9" ht="24" hidden="0" customHeight="1">
      <x:c r="A9" s="9" t="str">
        <x:v>5</x:v>
      </x:c>
      <x:c r="B9" s="9" t="str">
        <x:v>Post-review iteration</x:v>
      </x:c>
      <x:c r="C9" s="9" t="str">
        <x:v>Respond to reviewer feedback by improving sourcing, not by adding more primary claims.</x:v>
      </x:c>
      <x:c r="D9" s="9" t="str">
        <x:v>Accepted draft or clear reviewer guidance for the next evidence round.</x:v>
      </x:c>
      <x:c r="E9" s="9" t="str">
        <x:v>Repeated resubmission without stronger sources can lead to rejection.</x:v>
      </x:c>
      <x:c r="F9" s="9" t="str">
        <x:v>P04</x:v>
      </x:c>
    </x:row>
  </x:sheetData>
  <x:pageMargins left="0.7" right="0.7" top="0.75" bottom="0.75" header="0.3" footer="0.3"/>
  <x:tableParts count="1">
    <x:tablePart xmlns:r="http://schemas.openxmlformats.org/officeDocument/2006/relationships" r:id="Rde3a2f3ca7a44941"/>
  </x:tableParts>
</x:worksheet>
</file>